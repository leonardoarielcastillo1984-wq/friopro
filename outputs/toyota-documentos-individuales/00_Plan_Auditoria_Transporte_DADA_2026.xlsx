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eonardocastillo/Desktop/APP/SGI respaldo 360/outputs/toyota-auditoria-2026/"/>
    </mc:Choice>
  </mc:AlternateContent>
  <xr:revisionPtr revIDLastSave="0" documentId="13_ncr:1_{A366BBAB-CCC6-2943-8DC0-2B4EF3512B33}" xr6:coauthVersionLast="47" xr6:coauthVersionMax="47" xr10:uidLastSave="{00000000-0000-0000-0000-000000000000}"/>
  <bookViews>
    <workbookView xWindow="29920" yWindow="0" windowWidth="51200" windowHeight="28800" xr2:uid="{00000000-000D-0000-FFFF-FFFF00000000}"/>
  </bookViews>
  <sheets>
    <sheet name="Plan de auditoría" sheetId="1" r:id="rId1"/>
    <sheet name="Resum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 l="1"/>
  <c r="C20" i="2"/>
  <c r="B20" i="2"/>
  <c r="D19" i="2"/>
  <c r="C19" i="2"/>
  <c r="B19" i="2"/>
  <c r="D18" i="2"/>
  <c r="C18" i="2"/>
  <c r="B18" i="2"/>
  <c r="D17" i="2"/>
  <c r="C17" i="2"/>
  <c r="B17" i="2"/>
  <c r="D16" i="2"/>
  <c r="C16" i="2"/>
  <c r="B16" i="2"/>
  <c r="D15" i="2"/>
  <c r="C15" i="2"/>
  <c r="B15" i="2"/>
  <c r="D14" i="2"/>
  <c r="C14" i="2"/>
  <c r="B14" i="2"/>
  <c r="D13" i="2"/>
  <c r="C13" i="2"/>
  <c r="B13" i="2"/>
  <c r="B9" i="2"/>
  <c r="B8" i="2"/>
  <c r="B7" i="2"/>
  <c r="B6" i="2"/>
  <c r="B4" i="2"/>
</calcChain>
</file>

<file path=xl/sharedStrings.xml><?xml version="1.0" encoding="utf-8"?>
<sst xmlns="http://schemas.openxmlformats.org/spreadsheetml/2006/main" count="533" uniqueCount="289">
  <si>
    <t>AUDITORÍA DE SEGURIDAD DEL TRANSPORTE · DADA 2026</t>
  </si>
  <si>
    <t>Tablero de evidencias, responsables y avance · 83 puntos de auditoría</t>
  </si>
  <si>
    <t>N.º</t>
  </si>
  <si>
    <t>Categoría</t>
  </si>
  <si>
    <t>Punto de auditoría</t>
  </si>
  <si>
    <t>Pregunta original (Question)</t>
  </si>
  <si>
    <t>Documentación / evidencia a presentar</t>
  </si>
  <si>
    <t>Departamento responsable</t>
  </si>
  <si>
    <t>Responsable asignado</t>
  </si>
  <si>
    <t>Estado</t>
  </si>
  <si>
    <t>% cumplimiento</t>
  </si>
  <si>
    <t>Fecha objetivo</t>
  </si>
  <si>
    <t>Próximo paso</t>
  </si>
  <si>
    <t>Observaciones</t>
  </si>
  <si>
    <t>Normativa</t>
  </si>
  <si>
    <t>N-00 – Subcontratación</t>
  </si>
  <si>
    <t>El sistema de gestion de seguridad, es aplicado bajo los mismos estandares y requerimientos al personal subcontratado o equipos subcontratados?</t>
  </si>
  <si>
    <t>Matriz que demuestre que los subcontratados cumplen las mismas políticas, capacitaciones, sanciones, controles, mantenimiento y tecnología. Contratos y evaluaciones de proveedores.</t>
  </si>
  <si>
    <t>Contrataciones</t>
  </si>
  <si>
    <t>Pendiente</t>
  </si>
  <si>
    <t>N-1 – Gestión legal</t>
  </si>
  <si>
    <t>La empresa ha identificado todos los requerimientos legales, posee una matriz legal de seguimiento y se cuantifican sus resultados y se posee un plan de accion de adecuacion
Realiza auditorias internas de verificacion</t>
  </si>
  <si>
    <t>Matriz legal actualizada, porcentaje de cumplimiento, vencimientos, responsables, desvíos, planes de adecuación y calendario de auditorías internas.</t>
  </si>
  <si>
    <t>N-2 – Certificaciones ISO</t>
  </si>
  <si>
    <t>¿La compañía cuenta con certificaciones ISO vigentes?
¿Qué normas ISO específicas ha obtenido la compañía?
 ¿Con qué frecuencia se realizan auditorías internas y externas para mantener las certificaciones ISO?</t>
  </si>
  <si>
    <t>Certificados vigentes, alcance, vencimientos, informes de auditorías internas y externas y seguimiento de hallazgos.</t>
  </si>
  <si>
    <t>N-3 – ISO 39001</t>
  </si>
  <si>
    <t>Posee Certificacion de norma ISO 39001?
Se encuentra vigente la certificacion?</t>
  </si>
  <si>
    <t>Certificado vigente o, si no existe, diagnóstico de brecha, sistema equivalente implementado y plan de certificación.</t>
  </si>
  <si>
    <t>N-4 – Política de Seguridad y Salud</t>
  </si>
  <si>
    <t>La compañía tiene una politica de seguridad firmada por la alta gerencia y fue comunicada a todos los colaboradores</t>
  </si>
  <si>
    <t>Política firmada por Dirección, versión vigente y evidencias de difusión: cartelería, plataforma, inducciones y acuses de lectura.</t>
  </si>
  <si>
    <t>Seguridad e Higiene</t>
  </si>
  <si>
    <t>N-5 – Responsable de Seguridad</t>
  </si>
  <si>
    <t>Tiene el lugar un lider de seguridad (representante) que lidera todas las actividades y tiene responsabilidades definidas.
Posee titulo con incumbencia en seguridad</t>
  </si>
  <si>
    <t>Designación formal, título habilitante, organigrama, descripción del puesto y evidencias de acciones lideradas.</t>
  </si>
  <si>
    <t>N-6 – Manual de Conducción Segura</t>
  </si>
  <si>
    <t>Internamente define un manual con normas de manejo para conductor de camion?
Posee toda la informacion necesaria para conocimiento de seguridad de conductor? Este es entregado?</t>
  </si>
  <si>
    <t>Manual vigente, control de versiones, contenidos, registros de entrega y comprobación de lectura de los conductores.</t>
  </si>
  <si>
    <t>N-7 – Plan ante emergencias</t>
  </si>
  <si>
    <t>Forma de actuar en caso de accidente, incidentes, emergencia en ruta, somnolencia, perdida de carga, deterioro de unidad, situaciones personales de conductores</t>
  </si>
  <si>
    <t>Procedimientos para accidentes, somnolencia, pérdida de carga, averías y emergencias; contactos, simulacros, registros y mejoras posteriores.</t>
  </si>
  <si>
    <t>N-8 – Jornada de trabajo</t>
  </si>
  <si>
    <t>¿La empresa cuenta con un sistema de control y registro de la jornada laboral de los conductores, incluyendo tiempos de conducción y descanso?
¿Se respetan los tiempos máximos de conducción y los períodos mínimos de descanso establecidos por la normativa vigente?
¿Existe un procedimiento documentado para la planificación de turnos y asignación de viajes que garantice el cumplimiento de los límites de jornada laboral?</t>
  </si>
  <si>
    <t>Procedimiento, planificación de turnos, horas conducidas, descansos, excesos, autorizaciones de horas extra, alertas e indicadores.</t>
  </si>
  <si>
    <t>Tráfico</t>
  </si>
  <si>
    <t>N-9 – Evaluaciones médicas</t>
  </si>
  <si>
    <t>Realizacion de evaluacion medica pre ocupacional. Periodica, por cambio de operaciones ( ej personal de mantenimiento que pasa a conductor de camion), por cese de actividad, etc</t>
  </si>
  <si>
    <t>Procedimiento, cronograma, aptitudes médicas vigentes y controles de sueño, audición, visión y condición física. Presentar los datos sensibles anonimizados.</t>
  </si>
  <si>
    <t>N-10 – Comité de Seguridad</t>
  </si>
  <si>
    <t>Existen reuniones regulares en piso en la cual se involucre la Alta y la Gerencia media en la cual los colaboradores un representande, puedan direccionar inquietudes de seguridad a través de comunicacion de dos vias?
Se involucran areas de operación, ing, calidad, serv medico, sindicato?</t>
  </si>
  <si>
    <t>Calendario, conformación, minutas, asistentes, temas tratados, compromisos, responsables y evidencias de cierre.</t>
  </si>
  <si>
    <t>N-11 – Reducción de siniestralidad</t>
  </si>
  <si>
    <t>Aplica para empresas que por su alta siniestralidad su ART (ARG) o su aseguradora los involucra dentro de un plan de mejora
evidencias si se encuentran dentro o no, ver motivo, revision de plan y acciones de mejora en GG</t>
  </si>
  <si>
    <t>Constancia ante ART o aseguradora, plan de reducción, metas, seguimiento y acciones aplicadas a conducción o mantenimiento.</t>
  </si>
  <si>
    <t>N-12 – Investigación de accidentes</t>
  </si>
  <si>
    <t>El lugar tiene un procedimiento para reportar /investigar incidentes de todo tipo. Está documentado el resumen de los resultados de la  investigación, se incluye descripción del incidente, analisis de causa raiz, contramedidas, yokoten, etc.?
Se posee un metodo estandar de analisis de causa raiz</t>
  </si>
  <si>
    <t>Procedimiento y caso anonimizado con descripción, causa raíz, contramedidas, responsables, cierre, Yokoten y revisión de riesgos.</t>
  </si>
  <si>
    <t>N-13 – Velocidad máxima</t>
  </si>
  <si>
    <t>Defincion de velocidad maxima de circulacion, en condiciones normales y de lluvia/nieve, climas adversos</t>
  </si>
  <si>
    <t>Tabla de velocidades por ruta y clima, estándar comunicado, configuración de alertas y reportes de excesos con acciones tomadas.</t>
  </si>
  <si>
    <t>Método y Gestión</t>
  </si>
  <si>
    <t>M/G 14 – Liderazgo en seguridad</t>
  </si>
  <si>
    <t>El lider del lugar (presidente o gerente de planta) ha demostrado compromiso con el sistema de gestión de seguridad.</t>
  </si>
  <si>
    <t>Recorridas, charlas, reuniones, decisiones, recursos aprobados y seguimiento de indicadores por parte de la Dirección.</t>
  </si>
  <si>
    <t>M/G 15 – Compromiso</t>
  </si>
  <si>
    <t>Tiene toda la alta gerencia su compromiso con la seguridad documentado y firmado?
Es consecuente a la realidad de los problemas de la compañía? Tiene relacion a los eventos o prinicipales problemas?</t>
  </si>
  <si>
    <t>Declaración de compromiso firmada por la alta gerencia, vinculada con los riesgos reales y comunicada a toda la organización.</t>
  </si>
  <si>
    <t>M/G 16 – Objetivos de SST</t>
  </si>
  <si>
    <t>¿La empresa cuenta con objetivos documentados en materia de seguridad y salud en el trabajo para la actividad de transporte de carga?
¿Se han definido indicadores de desempeño para medir el cumplimiento de los objetivos de seguridad y salud?
¿Existe un plan de acción para alcanzar los objetivos, con responsables y plazos establecidos?</t>
  </si>
  <si>
    <t>Objetivos anuales, metas cuantificadas, KPI, responsables, plazos, evolución interanual y criterio de actualización.</t>
  </si>
  <si>
    <t>M/G 17 – Plan de acción</t>
  </si>
  <si>
    <t>Hay un plan de acción de seguridad desarrollado y vinculado  a los objetivos de la compañía en el cual están identificadas los targets, actividades y requerimientos puntuales de seguridad? Ej: Seguimiento al estatus de cumplimiento, Entrenamiento, Monitoreos etc.</t>
  </si>
  <si>
    <t>Plan con acción, origen, riesgo, prioridad, responsable, fecha prevista, estado, evidencia y verificación de eficacia.</t>
  </si>
  <si>
    <t>M/G 18 – Evaluación de riesgos</t>
  </si>
  <si>
    <t>Se han identificado peligros/riesgos, se han evaluado los riesgos en su totalidad para las distintas operaciones transportes, puntos de recoleccion, almacenamiento, pernocte, y abastecimiento
posee un metodo de analisis, que liste riesgos, criterios metodo de cuantificacion, etc</t>
  </si>
  <si>
    <t>Matriz por operación, ruta, parada, carga, abastecimiento y pernocte; metodología, valoración y controles definidos.</t>
  </si>
  <si>
    <t>M/G 19 – Reducción de riesgos</t>
  </si>
  <si>
    <t>Se han implementado actividades de reducción de riesgos/hay un plan de implementación a mejoras?</t>
  </si>
  <si>
    <t>Acciones derivadas de la matriz, priorización, avance, fotografías de antes y después y comprobación de eficacia en campo.</t>
  </si>
  <si>
    <t>M/G 20 – Selección e inducción</t>
  </si>
  <si>
    <t>Analisis de aptitudes comportamentales de nuevos ingresantes
se define un proceso de entrenamiento de inducción para nuevos colaboradores el cual incluya la comunicación de riesgos de la operación, la verificacion del conocimiento
se validan los antecedentes viales en etapa de seleccion?</t>
  </si>
  <si>
    <t>Procedimiento de selección, antecedentes viales, evaluaciones conductuales, inducción, examen y habilitación del conductor.</t>
  </si>
  <si>
    <t>M/G 21 – Régimen de sanciones</t>
  </si>
  <si>
    <t>La empresa posee un regimen de sanciones frente al incumplimiento de las normas de manejo seguro y  estandares de la empresa
(normas de manejo, exceso de jornadas, inconductas etc)</t>
  </si>
  <si>
    <t>Política de consecuencias, clasificación y gradualidad de desvíos, trazabilidad de casos, capacitación y seguimiento posterior.</t>
  </si>
  <si>
    <t>M/G 22 – Puesto de trabajo</t>
  </si>
  <si>
    <t>Se relevan y estandarizanlos elementos necesarios en cabina considerando posiciones de visualizacion, alcanse de toma y sujecion o contencion segura ?
Se relevan las seguridades que posee cada equipo intrinseco por modelo y marca y agregadas por la compañia?
Existen actividades de formacion en 4s //Existen actividades de verificacion de 4s, seguridad y confort en cabina// se estandarizan las condiciones del puesto de trabajo con disposicion de elementos necesarios en cabina seguros, estandarizacion de 4s, auditorias de chequeo de cabina en bases operativas, 
disposicion segura de elementos de comunicación, hidratacion y recarga de dispositvos, 
analisis de ergonomia del puesto de trabajo// analisis de confort del descanso para operaciones con pernocte</t>
  </si>
  <si>
    <t>Estándar de cabina, checklist 4S, estudio ergonómico, inventario de tecnologías y resultados de auditorías por unidad.</t>
  </si>
  <si>
    <t>M/G 23 – Verificación del descanso</t>
  </si>
  <si>
    <t>Verificar metodo de verificacion de descanso de conductor.
Verificar que se contemplen areas de descanso que favorezcan a la calidad del sueño.</t>
  </si>
  <si>
    <t>Registros de sueño y descanso, criterios de aptitud, lugares homologados y evidencias de higiene y confort.</t>
  </si>
  <si>
    <t>M/G 24 – Reportes de terceros</t>
  </si>
  <si>
    <t>Se cuenta con sistema para denuncia de manejo inseguro por terceros o deteccion en puestos homologados.
Se posee un registro, kpi y acciones de contramedida para estos eventos.</t>
  </si>
  <si>
    <t>Canal de denuncias, casos recibidos, investigaciones, KPI, respuestas y contramedidas implementadas.</t>
  </si>
  <si>
    <t>M/G 25 – Auditoría de manejo</t>
  </si>
  <si>
    <t>¿La empresa realiza auditorías internas o inspecciones en ruta para evaluar el cumplimiento de los procedimientos de seguridad en la conducción?
¿Existen criterios definidos para la observación y evaluación del desempeño de los conductores en la vía?
¿Se llevan registros de las auditorías de manejo y se implementan acciones correctivas ante desvíos detectados?
¿Los conductores reciben retroalimentación sobre su desempeño en seguridad vial y conducción segura?
¿Se utilizan tecnologías (GPS, cámaras, telemetría) para la observación y análisis de la conducción de los choferes?</t>
  </si>
  <si>
    <t>Checklist de observación, auditorías en ruta, telemetría, cámaras, devolución al conductor y acciones correctivas.</t>
  </si>
  <si>
    <t>M/G 26 – Documentación del vehículo</t>
  </si>
  <si>
    <t>Se cuenta con proceso interno de verificacion de documentacion de vehiculo necesario para viaje
Se define documentacion necesaria de viaje?</t>
  </si>
  <si>
    <t>Estándar documental, checklist previo al viaje, documentación vigente y alertas o bloqueos por vencimientos.</t>
  </si>
  <si>
    <t>M/G 27 – Carga física y cognitiva</t>
  </si>
  <si>
    <t>Se realizan evaluaciones periódicas de la carga física y cognitiva a la que están expuestos los conductores?
¿Existen medidas para minimizar la fatiga laboral, como pausas activas, rotación de tareas o tiempos de descanso adecuados?
¿La empresa proporciona capacitación sobre gestión del estrés, fatiga y estrategias de concentración en la conducción?
¿Se llevan registros de incidentes relacionados con la fatiga o sobrecarga laboral y se analizan para implementar mejoras?
Se realiza analisis distribucion segura de jornada de trabajo en relacion carga fisica y mental de los distintos procesos, rutas, clientes, distancias, cargas, etc
se analiza esquema de postas o semaforo?</t>
  </si>
  <si>
    <t>Evaluación por ruta y tarea, esquema de pausas y postas, semáforo de riesgo, capacitación y análisis de incidentes por fatiga.</t>
  </si>
  <si>
    <t>M/G 28 – Reportes a autoridades</t>
  </si>
  <si>
    <t>Se realizan reportes de deterioro de ruta o anormalidades de camino a autoridad de competencia. Para solicitud de adecuacion</t>
  </si>
  <si>
    <t>Notas, expedientes o tickets por deterioro de rutas, periodicidad, seguimiento, respuestas y reiteraciones.</t>
  </si>
  <si>
    <t>M/G 29 – Aviso de peligro</t>
  </si>
  <si>
    <t>Hay algún método establecido que permita a los conductor comunicar mejoras sugerencias (Ej. Avisos de susto) relacionados a ambientes de trabajo inseguros o de riesgo innminente?
¿Los conductores están capacitados sobre los criterios para reportar anormalidades y peligros viales?
¿Se dispone de un canal de comunicación interno para que los conductores informen condiciones de riesgo en la ruta a la empresa?</t>
  </si>
  <si>
    <t>Procedimiento, formulario o canal de reporte, capacitación, mapa de avisos, tendencias y medidas adoptadas.</t>
  </si>
  <si>
    <t>M/G 30 – KPI internos</t>
  </si>
  <si>
    <t>Seguimiento de indicadores internos de accidentes, incidentes, infracciones, horas de conduccion, excesos de jornada, ocurrencias o desvios en conduccion, etc
La empresa cuenta con un sistema de gestión que registre y analice indicadores clave de seguridad en el transporte?
¿Se han definido KPIs específicos para evaluar el desempeño en seguridad vial, tiempos de descanso, incidentes y cumplimiento normativo?
¿Se realizan análisis periódicos de los indicadores y se implementan acciones correctivas en caso de desviaciones?
¿Los resultados de los KPIs son comunicados a los conductores y al personal relevante para la mejora continua?
¿Existe un proceso de revisión y actualización de los KPIs para asegurar su alineación con los objetivos de seguridad, normativas vigentes y tg propuestos?</t>
  </si>
  <si>
    <t>Tablero con accidentes, incidentes, infracciones, fatiga, jornada, velocidad y conducción riesgosa; metas, tendencias y causas.</t>
  </si>
  <si>
    <t>M/G 31 – Cultura de seguridad</t>
  </si>
  <si>
    <t>¿La empresa cuenta con un programa formal para la mejora continua de la cultura de seguridad?
¿Se realizan actividades periódicas (capacitaciones, campañas, charlas de seguridad) para reforzar la cultura de seguridad entre los trabajadores?
¿Se mide el nivel de compromiso y percepción de los empleados sobre la seguridad a través de encuestas o evaluaciones?
¿Existen incentivos o reconocimiento para los empleados que demuestran buenas prácticas de seguridad?
¿Se analizan y comunican los aprendizajes derivados de incidentes y observaciones de seguridad para fortalecer la cultura preventiva?</t>
  </si>
  <si>
    <t>Programa anual, campañas, charlas, encuestas, reconocimientos y comunicación de aprendizajes de incidentes.</t>
  </si>
  <si>
    <t>M/G 32 – Auditoría de cultura</t>
  </si>
  <si>
    <t>Sitema de medicion y cuantificacion de cultura de seguridad interna de la compania</t>
  </si>
  <si>
    <t>Metodología, encuesta, dimensiones medidas, resultados segmentados, evolución y plan de mejora.</t>
  </si>
  <si>
    <t>M/G 33 – Puntos críticos</t>
  </si>
  <si>
    <t>Identificacion de puntos clave de seguridad en sus operaciones 
Analisis de rutas de circulacion, zonas de peligro, curvas peligrosas, accesos dificultosos, deterioro de ruta, ausencia de banquina, congestion de transito, velocidad maxima de curvas prevencion tumbamiento, zonas de pendientes y demas factores de riesgo
auditar luego en punto T 80 y E 53</t>
  </si>
  <si>
    <t>Rotogramas, mapas de riesgos, curvas, pendientes, accesos, zonas inseguras, velocidades y paradas homologadas.</t>
  </si>
  <si>
    <t>M/G 34 – Campañas internas</t>
  </si>
  <si>
    <t>Promocion interna de campáñas de seguridad, participacion de toda la estructura operativa incluyendo alta gerencia y conductores</t>
  </si>
  <si>
    <t>Calendario, piezas utilizadas, asistentes, participación de Dirección y conductores, fotografías y medición de alcance.</t>
  </si>
  <si>
    <t>M/G 35 – Chequeo de salud</t>
  </si>
  <si>
    <t>Se realizan chequeos de salud 
Se monitorea presion arterial, temperartura, consumo del achol, tiempo de descanso, consumo de medicamentos, 
Se deja registrado, los equipos de medicion se ecuentran debidamente calibrados</t>
  </si>
  <si>
    <t>Registros de presión, temperatura, descanso, medicación y alcohol; criterios de bloqueo y calibración de los equipos.</t>
  </si>
  <si>
    <t>Factor humano</t>
  </si>
  <si>
    <t>M/O 36 – Verificación cognitiva</t>
  </si>
  <si>
    <t>Uso de metodos estandar de verificacion y entrevista
verficacion temprana o reactiva de riesgo psicosocial de conductor. Posible estrés laboral, fatiga, estrés pos traumatico</t>
  </si>
  <si>
    <t>Entrevista o encuesta, criterios de riesgo psicosocial, registros anonimizados, derivaciones y seguimiento.</t>
  </si>
  <si>
    <t>M/O 37 – Charlas diarias</t>
  </si>
  <si>
    <t>Hay algun sistema de comunicación (reunión de seguridad o diario) establecido para comunicar asuntos de seguridad, reglas de seguridad, promoción de seguridad, entre otros?</t>
  </si>
  <si>
    <t>Cronograma, temas, minutas, asistentes, afiches y evidencia de charlas de cinco minutos.</t>
  </si>
  <si>
    <t>M/O 38 – Charlas posteriores a eventos</t>
  </si>
  <si>
    <t>Verificar metodo y dinamica de charlas ante los diferentes eventos de seguridad
verificar ultimos registros</t>
  </si>
  <si>
    <t>Procedimiento, material utilizado, convocatoria, asistencia y acciones surgidas de accidentes, infracciones o actos inseguros.</t>
  </si>
  <si>
    <t>M/O 39 – Reporte interno de eventos</t>
  </si>
  <si>
    <t>Existe un sistema de reporte para cada vez que ocurre un incidente y contiene: Fecha del incidente, descripción, analisis de causa raiz, contramedidas, cierre de C/M's y requerimiento de Yokoten c? Revisión del analisis de riesgos debe ser considerado en caso de ser aplicable.
todos los eventos son analizados? poseen el mismo esquema o procedimiento de investigacion?</t>
  </si>
  <si>
    <t>Reporte completo con fecha, descripción, causa raíz, contramedidas, cierre, Yokoten y actualización de riesgos.</t>
  </si>
  <si>
    <t>M/O 40 – Plan de capacitación</t>
  </si>
  <si>
    <t>¿La empresa cuenta con un plan de capacitación obligatorio en seguridad vial y salud ocupacional para los conductores y el personal involucrado?
¿Se destina tiempo suficiente para dictado de las mismas, se distribuye el entrenamiento a lo largo del año?
¿Se realizan actualizaciones periódicas del plan de capacitación para alinearlo con los cambios normativos, operativos, experiencias?</t>
  </si>
  <si>
    <t>Plan anual por rol, fechas, horas, contenidos, vencimientos, asistencia y porcentaje de cumplimiento.</t>
  </si>
  <si>
    <t>M/O 41 – Estrategias de capacitación</t>
  </si>
  <si>
    <t>SE UTILIZA SIMULADOR, SIMULACROS, LUDOPREVENCION, EXPERIENCIAS COMO ACCIDENTES PROPIOS O DE TERCEROS
¿Se realizan simulaciones o prácticas en condiciones reales o controladas para que los conductores adquieran habilidades prácticas en manejo seguro?</t>
  </si>
  <si>
    <t>Evidencias de simuladores, simulacros, ludoprevención, casos reales y prácticas controladas de conducción segura.</t>
  </si>
  <si>
    <t>M/O 42 – Manejo de emociones</t>
  </si>
  <si>
    <t>Capacitacion en agresion de terceros, conflictos de transito, etc</t>
  </si>
  <si>
    <t>Temario sobre agresiones, tránsito, estrés y autocontrol; registros de asistencia y evaluación.</t>
  </si>
  <si>
    <t>M/O 43 – Pausas activas</t>
  </si>
  <si>
    <t>Se contempla dentro de las capacitaciones el concepto de pausa activa, importancia, y maneras de implementarla dentro de la jornada de trabajo
Se promueve la realización de pausas activas en intervalos específicos durante los turnos de trabajo, especialmente en viajes largos?
¿Existen directrices claras para la ejecución de pausas activas, como ejercicios físicos o descansos programados, que ayuden a prevenir la fatiga y problemas musculoesqueléticos?</t>
  </si>
  <si>
    <t>Directriz, ejercicios, frecuencia, material educativo, incorporación al viaje y control de cumplimiento.</t>
  </si>
  <si>
    <t>M/O 44 – Hábitos saludables</t>
  </si>
  <si>
    <t>Se promueven hábitos saludables específicamente orientados a los conductores, considerando su estilo de vida y los desafíos del trabajo en ruta?
¿Las capacitaciones incluyen la importancia del descanso adecuado, la hidratación y la gestión de la fatiga durante los viajes largos?</t>
  </si>
  <si>
    <t>Programa y material sobre descanso, alimentación, hidratación, sobrepeso, fatiga y somnolencia posprandial.</t>
  </si>
  <si>
    <t>M/O 45 – Normas de manejo seguro</t>
  </si>
  <si>
    <t>¿La empresa tiene un plan de capacitación obligatorio sobre normas de manejo y reglas de conducción segura para todos los conductores?</t>
  </si>
  <si>
    <t>Plan, temario, material, asistencia y evaluaciones alineadas con el manual y los riesgos monitoreados.</t>
  </si>
  <si>
    <t>M/O 46 – Manejo defensivo</t>
  </si>
  <si>
    <t>¿La empresa ofrece capacitación específica sobre manejo defensivo, enfocada en la prevención de accidentes y situaciones de riesgo en ruta?
¿Las capacitaciones incluyen técnicas de autodefensa, como la anticipación a riesgos viales, control de la velocidad y manejo en condiciones adversas (clima, noche, etc.)?</t>
  </si>
  <si>
    <t>Temario, prácticas, registros y evaluación sobre anticipación, velocidad, clima, conducción nocturna y autocuidado.</t>
  </si>
  <si>
    <t>M/O 47 – Plataforma de comunicación</t>
  </si>
  <si>
    <t>¿La empresa cuenta con medios de comunicación para informar incluso a la distancia de informacion referida a seguridad?
¿Los empleados tienen acceso a una base de datos centralizada o intranet donde puedan consultar información relevante sobre seguridad, procedimientos de emergencia y reportes de riesgos?</t>
  </si>
  <si>
    <t>Demostración de intranet o aplicación, biblioteca de procedimientos, videos, alertas y acceso remoto de los conductores.</t>
  </si>
  <si>
    <t>M/O 48 – Instructores especializados</t>
  </si>
  <si>
    <t>La empresa cuenta con instructores o entrenadores especializados en seguridad vial, manejo defensivo y autodefensa para conductores?
¿Los instructores tienen la capacitación y experiencia necesarias para impartir formación en temas específicos de seguridad, tanto teóricos como prácticos?
¿Se realiza la certificacion en instituciones como Fabet, Sest Senat, FPT o similares que acrediten especializacion en seguridad vial y del transporte. tiene un plazo establecido de recertificacion?</t>
  </si>
  <si>
    <t>CV, certificados, instituciones acreditantes, vigencias, recertificaciones y actualizaciones realizadas.</t>
  </si>
  <si>
    <t>M/O 49 – Evaluación de capacitación</t>
  </si>
  <si>
    <t>La empresa realiza evaluaciones sistemáticas para medir la efectividad de las capacitaciones sobre seguridad y manejo?
¿Existen acciones correctivas o planes de mejora basados en los resultados de las evaluaciones de capacitación?</t>
  </si>
  <si>
    <t>Exámenes posteriores, resultados por persona y tema, análisis de brechas y refuerzos aplicados.</t>
  </si>
  <si>
    <t>M/O 50 – Material posterior</t>
  </si>
  <si>
    <t>Se entrega material del contenido de la capacitacion</t>
  </si>
  <si>
    <t>Manuales, presentaciones, videos o fichas entregados; acceso posterior, control de versión y trazabilidad de entrega.</t>
  </si>
  <si>
    <t>M/O 51 – Evaluación previa y satisfacción</t>
  </si>
  <si>
    <t>¿La empresa realiza evaluaciones sistemáticas para medir la efectividad de las capacitaciones sobre seguridad y manejo?
¿Se utilizan métodos evaluacion pre capacitacion para validar la incorporacion de conocimiento pos capacitacion?
Se contempla mediante encuestas de satisfaccion registradas la opinion de los colaboradores</t>
  </si>
  <si>
    <t>Pretest, postest, comparación de aprendizaje, encuestas de satisfacción y mejoras originadas en sugerencias.</t>
  </si>
  <si>
    <t>Entorno</t>
  </si>
  <si>
    <t>E 52 – Riesgos físicos</t>
  </si>
  <si>
    <t>EVALUACION Y MEDICION DE RIESGO DE VIBRACIONES, RUIDO, VENTILACION, Y DEMAS ASPECTOS QUE SEAN CONSIDERADOS</t>
  </si>
  <si>
    <t>Protocolos y mediciones de ruido, vibraciones, ventilación y otros agentes; resultados y acciones de mejora.</t>
  </si>
  <si>
    <t>E 53 – Asistencia de viaje</t>
  </si>
  <si>
    <t>Analisis de contexto de viaje y advertencia a conductor
analisis de condiciones climaticas, congestion de transito, epocas festivas, cortes de ruta o calle por manifestacion, zona hostil, cercania a puestos homologados o seguros para detenerse, etc
ante necesidad de desvio, se contemplan riesgo de punto de cambio</t>
  </si>
  <si>
    <t>Procedimiento y demostración del análisis de clima, tránsito, cortes, zonas hostiles, paradas seguras, alertas y desvíos.</t>
  </si>
  <si>
    <t>Tecnología</t>
  </si>
  <si>
    <t>T 54 – Cámaras internas y externas</t>
  </si>
  <si>
    <t>Posee en todas sus unidades la instalacion y funcionamiento de camara de control interna y externa, con monitoreo en linea de la misma y registro de viaje.
La misma poseen sistema de deteccion de desvios</t>
  </si>
  <si>
    <t>Inventario de unidades, visualización en vivo, grabaciones, detección de desvíos, reportes y cobertura de flota.</t>
  </si>
  <si>
    <t>Seguimiento</t>
  </si>
  <si>
    <t>T 55 – Detección de somnolencia</t>
  </si>
  <si>
    <t>Sistema de monitoreo de fatiga de conductor con adevertencia inmediata a conductor y base de control</t>
  </si>
  <si>
    <t>Demostración del sensor, alerta en cabina y central, eventos registrados, escalamiento y acciones tomadas.</t>
  </si>
  <si>
    <t>T 56 – Rastreo de ubicación</t>
  </si>
  <si>
    <t>Posee sistema de ubicacion en tiempo real de unidad
permite validar circulacion de maquina, encendido, velocidad de circulacion</t>
  </si>
  <si>
    <t>Mapa en tiempo real con ubicación, encendido, velocidad, recorrido y tiempo de conducción.</t>
  </si>
  <si>
    <t>T 57 – Distancia segura</t>
  </si>
  <si>
    <t>Posee sistema de monitoreo de distancia segura en relacion distancia vehiculo delantero vs velocidad</t>
  </si>
  <si>
    <t>Prueba del sistema, advertencia al conductor, registro del evento, reportes y cobertura de flota.</t>
  </si>
  <si>
    <t>T 58 – Frenadas bruscas</t>
  </si>
  <si>
    <t>Deteccion y registro de frenadas o movimiento bruscos
Registro inmediato de evento</t>
  </si>
  <si>
    <t>Reportes con fecha, ubicación, intensidad, causa probable, conductor, investigación y contramedidas.</t>
  </si>
  <si>
    <t>T 59 – Central de monitoreo</t>
  </si>
  <si>
    <t>Posee una central de monitoreo durante toda la franja horaria de recorridos, con reportes rapidos de ocurrencias, y seguimento
Posee sistema de reporte hacia conductor en caso de desvios graves o de respuesta innmediata
permite el monitoreo kpi, aviso de accidentes, incidentes</t>
  </si>
  <si>
    <t>Operación en vivo, horarios, dotación, tablero, alertas, protocolos de actuación y seguimiento de casos.</t>
  </si>
  <si>
    <t>T 60 – Precolisión y velocidad adaptativa</t>
  </si>
  <si>
    <t>Sistema de aviso de precolision y control de unidad</t>
  </si>
  <si>
    <t>Inventario, ficha técnica, prueba o video, mantenimiento y registros de alertas o intervenciones.</t>
  </si>
  <si>
    <t>T 61 – Iluminación automática</t>
  </si>
  <si>
    <t>Las unidades poseen sistema de iluminacion automatica</t>
  </si>
  <si>
    <t>Verificación física, listado de unidades equipadas y registros de inspección y mantenimiento.</t>
  </si>
  <si>
    <t>T 62 – Uso del cinturón</t>
  </si>
  <si>
    <t>Sistema de aviso de uso de cinturon. Reporte en cabina y registro de desvio</t>
  </si>
  <si>
    <t>Alarma en cabina, registro remoto, reportes de incumplimientos, cobertura y acciones tomadas.</t>
  </si>
  <si>
    <t>T 63 – Alcohol y estupefacientes</t>
  </si>
  <si>
    <t>Se dispone de dispositivo de medicion de alcholemia / estupefacientes como condicion de marcha de vehiculo o mediante medicion de un tercero que valide la condicion del conductor</t>
  </si>
  <si>
    <t>Procedimiento previo al viaje, registros, equipo utilizado, calibración, intervención de terceros y bloqueo de marcha.</t>
  </si>
  <si>
    <t>T 64 – Velocidad en zonas críticas</t>
  </si>
  <si>
    <t>Posee un sistema de control, limitacion o monitoreo de velocidad excesiva en curvas
sistema que permita el control advertencia por de exceso de velocidad en carácter de prevencion de vuelco o tumbamiento</t>
  </si>
  <si>
    <t>Geocercas, límites configurados, mapas, alertas, infracciones y medidas para prevenir vuelcos.</t>
  </si>
  <si>
    <t>T 65 – ABS y ESP</t>
  </si>
  <si>
    <t>¿La flota de vehículos de la empresa está equipada con sistemas de frenos antibloqueo (ABS) y control electrónico de estabilidad (ESP)?
¿Se realiza un mantenimiento regular y específico para asegurar el funcionamiento adecuado de los sistemas ABS y ESP en todos los vehículos de la flota?</t>
  </si>
  <si>
    <t>Inventario de flota, fichas técnicas, registros de mantenimiento y protocolo ante fallas.</t>
  </si>
  <si>
    <t>T 66 – Limitación de velocidad</t>
  </si>
  <si>
    <t>El equipo cuenta con limitacion a velocidad maxima establecida, 
posee un sistema de monitoreo de velocidad en viaje con aviso de exceso en cabina y registro por sistema</t>
  </si>
  <si>
    <t>Configuración por vehículo, alerta en cabina, reportes de excesos y mantenimiento del sistema.</t>
  </si>
  <si>
    <t>T 67 – Detención remota</t>
  </si>
  <si>
    <t>Posee un sistema de detencion remota de vehiculo con advertencia previa en un tiempo suficiente para que el camionero pueda detener la marcha en un area segura.
Esta por procedimiento cuando se aplica el proceso de detencion</t>
  </si>
  <si>
    <t>Procedimiento autorizado, condiciones de aplicación, responsables, advertencia previa, prueba segura y registros de uso.</t>
  </si>
  <si>
    <t>T 68 – Luz de frenada de emergencia</t>
  </si>
  <si>
    <t>Posee en su sistema de iluminacion de frenada un diferencial luminico para casos de frenada de emergencia
se chequea esto preventivamente, repecto a su funcionamiento</t>
  </si>
  <si>
    <t>Demostración o video, listado de unidades y registros de chequeo preventivo.</t>
  </si>
  <si>
    <t>T 69 – Sensor de ángulo ciego</t>
  </si>
  <si>
    <t>Posee un sistema de sensor de angulo ciego, para advertir al conductor de la presencia de persona, objeto o vehiculo en esta area?
Se hace un chequeo de calibracion de funcionamiento?</t>
  </si>
  <si>
    <t>Inventario, demostración, alarmas, pruebas, mantenimiento y registros de calibración.</t>
  </si>
  <si>
    <t>T 70 – Velocidad con lluvia</t>
  </si>
  <si>
    <t>¿Se han establecido límites de velocidad específicos para condiciones de lluvia, y estos límites son monitoreados y respetados mediante tecnología o controles de seguridad?
¿La empresa dispone de sistemas o tecnologías para medir y monitorear la velocidad de los vehículos durante condiciones meteorológicas adversas, como lluvia intensa?</t>
  </si>
  <si>
    <t>Límites diferenciados, fuente meteorológica, configuración, telemetría y reportes de cumplimiento.</t>
  </si>
  <si>
    <t>T 71 – Botón antipánico</t>
  </si>
  <si>
    <t>POSEE UN SISTEMA DE BOTON ANTIPANICO O DE EMERGENCIA PARA COMUNICAR UN SINIESTRO, ROBO, O EMERGENCIA DE MANERA RAPIDA A LA BASE DE CONTROL</t>
  </si>
  <si>
    <t>Ubicación, prueba de activación, recepción de la alerta, geolocalización y protocolo de respuesta.</t>
  </si>
  <si>
    <t>T 72 – Aviso automático de emergencia</t>
  </si>
  <si>
    <t>¿La empresa dispone de un sistema de alerta automática que notifique a la base de control en caso de colisión, vuelco, incendio u otras emergencias, incluso si el conductor no puede activar la alarma manualmente?
¿El sistema de aviso de emergencia es capaz de identificar y enviar información precisa sobre el tipo de emergencia (por ejemplo, tipo de accidente, ubicación, gravedad, etc.)?
¿Los vehículos están equipados con sensores o dispositivos que permiten activar el sistema de emergencia de manera autónoma en caso de eventos como colisiones o vuelcos?
Existe un protocolo claro para la respuesta inmediata de la base de control una vez que se recibe una alerta de emergencia, y cómo se coordina la asistencia al conductor?</t>
  </si>
  <si>
    <t>Documentación del sistema, prueba, detección de colisión o vuelco, datos enviados y protocolo de asistencia.</t>
  </si>
  <si>
    <t>T 73 – Comunicación segura</t>
  </si>
  <si>
    <t>POSEE UN SISTEMA DE COMUNICACIÓN EL CUAL LE PERMITA UNA COMUNICACIÓN SEGURA, QUE PERMITA MANOS LIBRES Y ATENCION EN LA CONDUCCION
SE ENCUENTRA ESTANDARIZADO PARA TODAS SUS UNIDADES
¿El sistema de comunicación permite que el conductor reciba mensajes de manera clara y pueda responder sin comprometer su seguridad ni distraerse mientras conduce?</t>
  </si>
  <si>
    <t>Sistema manos libres, estandarización de flota, procedimientos de comunicación, pruebas y auditorías de uso.</t>
  </si>
  <si>
    <t>T 74 – Pantalla GPS</t>
  </si>
  <si>
    <t>POSEE EN CABINA UNA PANTALLA DE VISUALIZACION DE VIAJE, CON INFORMACION DE PTO CLAVE DE SEGURIDAD, PUESTOS HOMOLOGADOS, CONGESTION DE TRANSITO, ADVERTENCIA DE OTROS USUARIOS, ETC
correlacion a M/G 33 y E53</t>
  </si>
  <si>
    <t>Demostración de ubicación, interfaz, rutas, riesgos y paradas seguras; capacitación y auditoría de uso.</t>
  </si>
  <si>
    <t>Máquina</t>
  </si>
  <si>
    <t>M 75 – Puesto de trabajo</t>
  </si>
  <si>
    <t>Se realizan auditorias del puesto de trabajo según lo establecido en el item MG/22, 
se lleva un registro de auditoria, seguimiento de contramedidas e indicadores</t>
  </si>
  <si>
    <t>Auditorías de cabina, cobertura de flota, hallazgos, contramedidas, fotografías e indicadores.</t>
  </si>
  <si>
    <t>M 76 – Mantenimiento</t>
  </si>
  <si>
    <t>La empresa tiene un programa de mantenimiento preventivo documentado para las máquinas y vehículos, que incluya revisiones periódicas y mantenimiento de los componentes críticos de seguridad?
¿Se lleva un registro detallado de las reparaciones, revisiones y mantenimientos realizados en cada máquina, con fechas y procedimientos realizados?
¿El personal encargado del mantenimiento tiene la capacitación y adecuadas para trabajar con las máquinas de la flota, asegurando que se sigan las normas y estándares de seguridad?
¿Existen indicadores clave de desempeño (KPIs) establecidos para evaluar la efectividad del mantenimiento de las máquinas, como tiempo de inactividad, fallos recurrentes, o incidentes relacionados con fallos mecánicos?
¿En caso de detectar fallas graves o potenciales riesgos durante el mantenimiento, se sigue un protocolo de revisión y se toman medidas correctivas inmediatas para evitar daños mayores o accidentes?</t>
  </si>
  <si>
    <t>Programa preventivo y correctivo, historial por unidad, componentes críticos, personal capacitado, KPI y protocolo de inmovilización.</t>
  </si>
  <si>
    <t>M 77 – Inspección pre y post viaje</t>
  </si>
  <si>
    <t>¿La empresa implementa un procedimiento estándar para la inspección de las máquinas antes y después de cada viaje, para garantizar que estén en condiciones óptimas de funcionamiento?
¿El conductor o el personal responsable tiene una lista de verificación documentada que abarca todos los componentes críticos de la máquina (frenos, luces, neumáticos, etc.) para realizar la inspección pre y post viaje?
¿Se registra el resultado de cada inspección pre y post viaje, y se toman acciones correctivas si se identifican fallas o deficiencias?
cuenta con elementos de inspeccion visual para chequeo de condiciones, como manometros, fluidos, dustite, luces, etc</t>
  </si>
  <si>
    <t>Checklist, registros por viaje, revisión de frenos, luces, neumáticos y fluidos, y tratamiento de fallas.</t>
  </si>
  <si>
    <t>M 78 – Fallas en sistemas de seguridad</t>
  </si>
  <si>
    <t>Se establece como actuar en caso de que el conductor detecte alguna falla en el funcionmiento de los distintos dispositivos y tecnologias de seguridad, como asi tambien la central de monitoreo
se definen aspectos criticos de detencion de vehiculo</t>
  </si>
  <si>
    <t>Procedimiento para fallas de cámaras, GPS y sensores; criterios de detención, comunicación, reparación y plan alternativo.</t>
  </si>
  <si>
    <t>M 79 – Calibración</t>
  </si>
  <si>
    <t>Plan de verificacion de funcionamiento y calibracion de los elementos de monitoreo de seguridad, como camaras internas y texternas, gps, sensores etc
registro y seguimiento
procedimiento ante desperfecto, bases operativas con capacidad de reparacion de dichos sistemas. plan B en caso de desperfecto para mantener monitoreo del personal</t>
  </si>
  <si>
    <t>Padrón con equipo, marca, modelo, serie, última y próxima calibración, proveedor, certificado, estado y alertas.</t>
  </si>
  <si>
    <t>M 80 – Vida útil de vehículos</t>
  </si>
  <si>
    <t>Se define/ estandariza vida util o operativa de maquina y carreta, 
hay un plan de accion o recambio?
Se lleva una base de datos de monitoreo de  años de uso
se encuentra por procedimiento</t>
  </si>
  <si>
    <t>Política de vida útil, base de flota, antigüedad, condición, proyección y plan de renovación.</t>
  </si>
  <si>
    <t>M 81 – Estándar de adquisición o subcontratación</t>
  </si>
  <si>
    <t>La empresa cuenta con un estándar documentado de seguridad para la adquisición o subcontratación de maquinaria y equipos (como camiones, remolques, etc.) que asegure el cumplimiento de las normativas locales e internacionales de seguridad?
¿Se realizan evaluaciones técnicas y de seguridad antes de adquirir o subcontratar maquinaria y equipo?
¿Existen criterios específicos para la selección de proveedores o contratistas de equipos, basados en la seguridad de los vehículos, el mantenimiento y el cumplimiento con las regulaciones de seguridad?
¿Los equipos adquiridos o subcontratados son sometidos a pruebas de seguridad y mantenimiento inicial antes de ser puestos en operación, para asegurar que cumplen con los estándares de seguridad establecidos?
¿Se mantiene un sistema de evaluación continua de los equipos adquiridos o subcontratados para asegurar que sigan cumpliendo con los estándares de seguridad a lo largo de su vida útil?</t>
  </si>
  <si>
    <t>Especificación mínima, evaluación técnica, checklist de recepción, contratos, pruebas y seguimiento de proveedores.</t>
  </si>
  <si>
    <t>M 82 – Visualización del entorno</t>
  </si>
  <si>
    <t>A empresa dispõe de sistemas ou tecnologias para melhorar a visibilidade do entorno durante a condução, como câmeras de ré, câmeras laterais ou sensores de proximidade?
Garante-se que os motoristas tenham uma visibilidade adequada do entorno, tanto em áreas de trabalho quanto na via, por meio de espelhos retrovisores, limpadores de para-brisa e outras ferramentas de apoio?
Isso é auditado e verificado em todas as unidades?</t>
  </si>
  <si>
    <t>Inventario y demostración de cámaras, espejos y sensores; mantenimiento, auditorías y cobertura de flota.</t>
  </si>
  <si>
    <t>RESUMEN EJECUTIVO · RESPONSABLES DE AUDITORÍA</t>
  </si>
  <si>
    <t>Indicador</t>
  </si>
  <si>
    <t>Valor</t>
  </si>
  <si>
    <t>Total de puntos</t>
  </si>
  <si>
    <t>Departamentos</t>
  </si>
  <si>
    <t>Completos</t>
  </si>
  <si>
    <t>En curso</t>
  </si>
  <si>
    <t>Bloqueados</t>
  </si>
  <si>
    <t>Avance general</t>
  </si>
  <si>
    <t>Puntos</t>
  </si>
  <si>
    <t>Avance promedio</t>
  </si>
  <si>
    <t>Calidad</t>
  </si>
  <si>
    <t>Dirección</t>
  </si>
  <si>
    <t>Mantenimiento</t>
  </si>
  <si>
    <t>RRHH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</si>
</sst>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font>
      <sz val="11"/>
      <name val="Carlito"/>
    </font>
    <font>
      <b/>
      <sz val="18"/>
      <color rgb="FFFFFFFF"/>
      <name val="Carlito"/>
    </font>
    <font>
      <i/>
      <sz val="11"/>
      <color rgb="FF1F4E78"/>
      <name val="Carlito"/>
    </font>
    <font>
      <b/>
      <sz val="10"/>
      <color rgb="FFFFFFFF"/>
      <name val="Carlito"/>
    </font>
    <font>
      <sz val="10"/>
      <color rgb="FF222222"/>
      <name val="Carlito"/>
    </font>
    <font>
      <b/>
      <sz val="10"/>
      <color rgb="FF44546A"/>
      <name val="Carlito"/>
    </font>
    <font>
      <b/>
      <sz val="10"/>
      <color rgb="FF1F1F1F"/>
      <name val="Carlito"/>
    </font>
    <font>
      <sz val="10"/>
      <color rgb="FF3F4E5E"/>
      <name val="Carlito"/>
    </font>
    <font>
      <b/>
      <sz val="10"/>
      <color rgb="FF1F4E78"/>
      <name val="Carlito"/>
    </font>
    <font>
      <sz val="10"/>
      <color rgb="FF44546A"/>
      <name val="Carlito"/>
    </font>
    <font>
      <b/>
      <sz val="10"/>
      <color rgb="FF7F6000"/>
      <name val="Carlito"/>
    </font>
    <font>
      <b/>
      <sz val="17"/>
      <color rgb="FFFFFFFF"/>
      <name val="Carlito"/>
    </font>
    <font>
      <b/>
      <sz val="11"/>
      <color rgb="FFFFFFFF"/>
      <name val="Carlito"/>
    </font>
    <font>
      <b/>
      <sz val="11"/>
      <color rgb="FF44546A"/>
      <name val="Carlito"/>
    </font>
    <font>
      <b/>
      <sz val="14"/>
      <color rgb="FF1F4E78"/>
      <name val="Carlito"/>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rgb="FFF4F8FC"/>
      </patternFill>
    </fill>
    <fill>
      <patternFill patternType="solid">
        <fgColor rgb="FFEAF2F8"/>
      </patternFill>
    </fill>
    <fill>
      <patternFill patternType="solid">
        <fgColor rgb="FFF6F8FA"/>
      </patternFill>
    </fill>
    <fill>
      <patternFill patternType="solid">
        <fgColor rgb="FFFFF2CC"/>
      </patternFill>
    </fill>
    <fill>
      <patternFill patternType="solid">
        <fgColor rgb="FFF3F6F9"/>
      </patternFill>
    </fill>
  </fills>
  <borders count="3">
    <border>
      <left/>
      <right/>
      <top/>
      <bottom/>
      <diagonal/>
    </border>
    <border>
      <left/>
      <right/>
      <top/>
      <bottom style="medium">
        <color rgb="FF1F4E78"/>
      </bottom>
      <diagonal/>
    </border>
    <border>
      <left/>
      <right/>
      <top/>
      <bottom style="thin">
        <color rgb="FFD9E2F3"/>
      </bottom>
      <diagonal/>
    </border>
  </borders>
  <cellStyleXfs count="1">
    <xf numFmtId="0" fontId="0" fillId="0" borderId="0"/>
  </cellStyleXfs>
  <cellXfs count="38">
    <xf numFmtId="0" fontId="0" fillId="0" borderId="0" xfId="0"/>
    <xf numFmtId="0" fontId="3" fillId="4" borderId="1" xfId="0" applyFont="1" applyFill="1" applyBorder="1" applyAlignment="1">
      <alignment horizontal="center" vertical="center" wrapText="1"/>
    </xf>
    <xf numFmtId="0" fontId="4" fillId="0" borderId="0" xfId="0" applyFont="1" applyAlignment="1">
      <alignment vertical="top" wrapText="1"/>
    </xf>
    <xf numFmtId="0" fontId="4" fillId="0" borderId="2" xfId="0" applyFont="1" applyBorder="1" applyAlignment="1">
      <alignment vertical="top" wrapText="1"/>
    </xf>
    <xf numFmtId="0" fontId="4" fillId="0" borderId="0" xfId="0" applyFont="1" applyAlignment="1">
      <alignment horizontal="center" vertical="top" wrapText="1"/>
    </xf>
    <xf numFmtId="0" fontId="4" fillId="0" borderId="2" xfId="0" applyFont="1" applyBorder="1" applyAlignment="1">
      <alignment horizontal="center" vertical="top" wrapText="1"/>
    </xf>
    <xf numFmtId="0" fontId="5" fillId="0" borderId="0" xfId="0" applyFont="1" applyAlignment="1">
      <alignment vertical="top" wrapText="1"/>
    </xf>
    <xf numFmtId="0" fontId="5" fillId="0" borderId="2" xfId="0" applyFont="1" applyBorder="1" applyAlignment="1">
      <alignment vertical="top" wrapText="1"/>
    </xf>
    <xf numFmtId="0" fontId="6" fillId="0" borderId="0" xfId="0" applyFont="1" applyAlignment="1">
      <alignment vertical="top" wrapText="1"/>
    </xf>
    <xf numFmtId="0" fontId="6" fillId="0" borderId="2" xfId="0" applyFont="1" applyBorder="1" applyAlignment="1">
      <alignment vertical="top" wrapText="1"/>
    </xf>
    <xf numFmtId="0" fontId="9" fillId="7" borderId="0" xfId="0" applyFont="1" applyFill="1" applyAlignment="1">
      <alignment vertical="center" wrapText="1"/>
    </xf>
    <xf numFmtId="0" fontId="9" fillId="7" borderId="2" xfId="0" applyFont="1" applyFill="1" applyBorder="1" applyAlignment="1">
      <alignment vertical="center" wrapText="1"/>
    </xf>
    <xf numFmtId="0" fontId="10" fillId="8" borderId="0" xfId="0" applyFont="1" applyFill="1" applyAlignment="1">
      <alignment horizontal="center" vertical="center" wrapText="1"/>
    </xf>
    <xf numFmtId="0" fontId="10" fillId="8" borderId="2" xfId="0" applyFont="1" applyFill="1" applyBorder="1" applyAlignment="1">
      <alignment horizontal="center" vertical="center" wrapText="1"/>
    </xf>
    <xf numFmtId="9" fontId="8" fillId="9" borderId="0" xfId="0" applyNumberFormat="1" applyFont="1" applyFill="1" applyAlignment="1">
      <alignment horizontal="center" vertical="center" wrapText="1"/>
    </xf>
    <xf numFmtId="9" fontId="8" fillId="9" borderId="2" xfId="0" applyNumberFormat="1" applyFont="1" applyFill="1" applyBorder="1" applyAlignment="1">
      <alignment horizontal="center" vertical="center" wrapText="1"/>
    </xf>
    <xf numFmtId="164" fontId="4" fillId="0" borderId="0" xfId="0" applyNumberFormat="1" applyFont="1" applyAlignment="1">
      <alignment horizontal="center" vertical="top" wrapText="1"/>
    </xf>
    <xf numFmtId="164" fontId="4" fillId="0" borderId="2" xfId="0" applyNumberFormat="1" applyFont="1" applyBorder="1" applyAlignment="1">
      <alignment horizontal="center" vertical="top" wrapText="1"/>
    </xf>
    <xf numFmtId="0" fontId="12" fillId="4" borderId="1" xfId="0" applyFont="1" applyFill="1" applyBorder="1" applyAlignment="1">
      <alignment horizontal="center"/>
    </xf>
    <xf numFmtId="0" fontId="13" fillId="9" borderId="0" xfId="0" applyFont="1" applyFill="1"/>
    <xf numFmtId="0" fontId="13" fillId="9" borderId="2" xfId="0" applyFont="1" applyFill="1" applyBorder="1"/>
    <xf numFmtId="0" fontId="14" fillId="9" borderId="0" xfId="0" applyFont="1" applyFill="1" applyAlignment="1">
      <alignment horizontal="center"/>
    </xf>
    <xf numFmtId="9" fontId="14" fillId="9" borderId="2" xfId="0" applyNumberFormat="1" applyFont="1" applyFill="1" applyBorder="1" applyAlignment="1">
      <alignment horizontal="center"/>
    </xf>
    <xf numFmtId="0" fontId="12" fillId="4" borderId="0" xfId="0" applyFont="1" applyFill="1" applyAlignment="1">
      <alignment horizontal="center" wrapText="1"/>
    </xf>
    <xf numFmtId="0" fontId="13" fillId="0" borderId="0" xfId="0" applyFont="1" applyAlignment="1">
      <alignment vertical="center"/>
    </xf>
    <xf numFmtId="0" fontId="13" fillId="0" borderId="2" xfId="0" applyFont="1" applyBorder="1" applyAlignment="1">
      <alignment vertical="center"/>
    </xf>
    <xf numFmtId="0" fontId="0" fillId="0" borderId="0" xfId="0" applyAlignment="1">
      <alignment horizontal="center" vertical="center"/>
    </xf>
    <xf numFmtId="9" fontId="0" fillId="0" borderId="0" xfId="0" applyNumberFormat="1" applyAlignment="1">
      <alignment horizontal="center" vertical="center"/>
    </xf>
    <xf numFmtId="0" fontId="0" fillId="0" borderId="2" xfId="0" applyBorder="1" applyAlignment="1">
      <alignment horizontal="center" vertical="center"/>
    </xf>
    <xf numFmtId="9" fontId="0" fillId="0" borderId="2" xfId="0" applyNumberFormat="1" applyBorder="1" applyAlignment="1">
      <alignment horizontal="center" vertical="center"/>
    </xf>
    <xf numFmtId="0" fontId="2" fillId="3" borderId="0" xfId="0" applyFont="1" applyFill="1" applyAlignment="1">
      <alignment horizontal="left" vertical="center"/>
    </xf>
    <xf numFmtId="0" fontId="11" fillId="2" borderId="0" xfId="0" applyFont="1" applyFill="1" applyAlignment="1">
      <alignment vertical="center"/>
    </xf>
    <xf numFmtId="0" fontId="1" fillId="2" borderId="0" xfId="0" applyFont="1" applyFill="1" applyAlignment="1">
      <alignment horizontal="center" vertical="center"/>
    </xf>
    <xf numFmtId="0" fontId="8" fillId="6" borderId="0" xfId="0" applyFont="1" applyFill="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7" fillId="5" borderId="0" xfId="0" applyFont="1" applyFill="1" applyAlignment="1">
      <alignment horizontal="center" vertical="center" wrapText="1"/>
    </xf>
    <xf numFmtId="0" fontId="7" fillId="5" borderId="2" xfId="0" applyFont="1" applyFill="1" applyBorder="1" applyAlignment="1">
      <alignment horizontal="center" vertical="center" wrapText="1"/>
    </xf>
  </cellXfs>
  <cellStyles count="1">
    <cellStyle name="Normal" xfId="0" builtinId="0"/>
  </cellStyles>
  <dxfs count="7">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i/>
        <color rgb="FF666666"/>
      </font>
      <fill>
        <patternFill patternType="solid">
          <bgColor rgb="FFE7E6E6"/>
        </patternFill>
      </fill>
    </dxf>
    <dxf>
      <font>
        <b/>
        <color rgb="FF9C0006"/>
      </font>
      <fill>
        <patternFill patternType="solid">
          <bgColor rgb="FFF4CCCC"/>
        </patternFill>
      </fill>
    </dxf>
    <dxf>
      <font>
        <b/>
        <color rgb="FF1F4E78"/>
      </font>
      <fill>
        <patternFill patternType="solid">
          <bgColor rgb="FFDDEBF7"/>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Distribución de puntos por departamento</a:t>
            </a:r>
          </a:p>
        </c:rich>
      </c:tx>
      <c:overlay val="0"/>
    </c:title>
    <c:autoTitleDeleted val="0"/>
    <c:plotArea>
      <c:layout/>
      <c:barChart>
        <c:barDir val="col"/>
        <c:grouping val="clustered"/>
        <c:varyColors val="0"/>
        <c:ser>
          <c:idx val="0"/>
          <c:order val="0"/>
          <c:tx>
            <c:v>Puntos</c:v>
          </c:tx>
          <c:invertIfNegative val="1"/>
          <c:cat>
            <c:strRef>
              <c:f>Resumen!$A$13:$A$22</c:f>
              <c:strCache>
                <c:ptCount val="8"/>
                <c:pt idx="0">
                  <c:v>Seguridad e Higiene</c:v>
                </c:pt>
                <c:pt idx="1">
                  <c:v>RRHH</c:v>
                </c:pt>
                <c:pt idx="2">
                  <c:v>Tráfico</c:v>
                </c:pt>
                <c:pt idx="3">
                  <c:v>Mantenimiento</c:v>
                </c:pt>
                <c:pt idx="4">
                  <c:v>Seguimiento</c:v>
                </c:pt>
                <c:pt idx="5">
                  <c:v>Calidad</c:v>
                </c:pt>
                <c:pt idx="6">
                  <c:v>Dirección</c:v>
                </c:pt>
                <c:pt idx="7">
                  <c:v>Contrataciones</c:v>
                </c:pt>
              </c:strCache>
            </c:strRef>
          </c:cat>
          <c:val>
            <c:numRef>
              <c:f>Resumen!$B$13:$B$22</c:f>
              <c:numCache>
                <c:formatCode>General</c:formatCode>
                <c:ptCount val="10"/>
                <c:pt idx="0">
                  <c:v>27</c:v>
                </c:pt>
                <c:pt idx="1">
                  <c:v>16</c:v>
                </c:pt>
                <c:pt idx="2">
                  <c:v>11</c:v>
                </c:pt>
                <c:pt idx="3">
                  <c:v>10</c:v>
                </c:pt>
                <c:pt idx="4">
                  <c:v>10</c:v>
                </c:pt>
                <c:pt idx="5">
                  <c:v>4</c:v>
                </c:pt>
                <c:pt idx="6">
                  <c:v>3</c:v>
                </c:pt>
                <c:pt idx="7">
                  <c:v>2</c:v>
                </c:pt>
              </c:numCache>
            </c:numRef>
          </c:val>
          <c:extLst>
            <c:ext xmlns:c16="http://schemas.microsoft.com/office/drawing/2014/chart" uri="{C3380CC4-5D6E-409C-BE32-E72D297353CC}">
              <c16:uniqueId val="{00000000-B29E-8A42-B4D7-44F46CBD41B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s-E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249749</xdr:colOff>
      <xdr:row>0</xdr:row>
      <xdr:rowOff>249750</xdr:rowOff>
    </xdr:from>
    <xdr:to>
      <xdr:col>1</xdr:col>
      <xdr:colOff>1094645</xdr:colOff>
      <xdr:row>0</xdr:row>
      <xdr:rowOff>572142</xdr:rowOff>
    </xdr:to>
    <xdr:pic>
      <xdr:nvPicPr>
        <xdr:cNvPr id="2" name="2 Imagen" descr="logo dada web">
          <a:extLst>
            <a:ext uri="{FF2B5EF4-FFF2-40B4-BE49-F238E27FC236}">
              <a16:creationId xmlns:a16="http://schemas.microsoft.com/office/drawing/2014/main" id="{F2EC349B-49CE-EB4E-A4D6-1C1F3E0228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9749" y="249750"/>
          <a:ext cx="1301883" cy="322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0</xdr:colOff>
      <xdr:row>22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Auditoria" displayName="TablaAuditoria" ref="A4:L87" totalsRowShown="0">
  <autoFilter ref="A4:L87" xr:uid="{00000000-000C-0000-FFFF-FFFF00000000}"/>
  <tableColumns count="12">
    <tableColumn id="1" xr3:uid="{00000000-0010-0000-0000-000001000000}" name="N.º"/>
    <tableColumn id="2" xr3:uid="{00000000-0010-0000-0000-000002000000}" name="Categoría"/>
    <tableColumn id="3" xr3:uid="{00000000-0010-0000-0000-000003000000}" name="Punto de auditoría"/>
    <tableColumn id="4" xr3:uid="{00000000-0010-0000-0000-000004000000}" name="Pregunta original (Question)" dataDxfId="2"/>
    <tableColumn id="5" xr3:uid="{00000000-0010-0000-0000-000005000000}" name="Documentación / evidencia a presentar" dataDxfId="0"/>
    <tableColumn id="6" xr3:uid="{00000000-0010-0000-0000-000006000000}" name="Departamento responsable" dataDxfId="1"/>
    <tableColumn id="7" xr3:uid="{00000000-0010-0000-0000-000007000000}" name="Responsable asignado"/>
    <tableColumn id="8" xr3:uid="{00000000-0010-0000-0000-000008000000}" name="Estado"/>
    <tableColumn id="9" xr3:uid="{00000000-0010-0000-0000-000009000000}" name="% cumplimiento"/>
    <tableColumn id="10" xr3:uid="{00000000-0010-0000-0000-00000A000000}" name="Fecha objetivo"/>
    <tableColumn id="11" xr3:uid="{00000000-0010-0000-0000-00000B000000}" name="Próximo paso"/>
    <tableColumn id="12" xr3:uid="{00000000-0010-0000-0000-00000C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showGridLines="0" tabSelected="1" zoomScale="164" workbookViewId="0">
      <selection activeCell="F88" sqref="F88"/>
    </sheetView>
  </sheetViews>
  <sheetFormatPr baseColWidth="10" defaultColWidth="8.83203125" defaultRowHeight="14"/>
  <cols>
    <col min="1" max="1" width="6" customWidth="1"/>
    <col min="2" max="2" width="19" customWidth="1"/>
    <col min="3" max="3" width="34" customWidth="1"/>
    <col min="4" max="4" width="65.1640625" style="26" customWidth="1"/>
    <col min="5" max="5" width="58" style="26" customWidth="1"/>
    <col min="6" max="6" width="28" style="26" customWidth="1"/>
    <col min="7" max="7" width="24" customWidth="1"/>
    <col min="8" max="8" width="17" customWidth="1"/>
    <col min="9" max="10" width="16" customWidth="1"/>
    <col min="11" max="12" width="32" customWidth="1"/>
  </cols>
  <sheetData>
    <row r="1" spans="1:12" ht="63" customHeight="1">
      <c r="A1" s="32" t="s">
        <v>0</v>
      </c>
      <c r="B1" s="32"/>
      <c r="C1" s="32"/>
      <c r="D1" s="32"/>
      <c r="E1" s="32"/>
      <c r="F1" s="32"/>
      <c r="G1" s="32"/>
      <c r="H1" s="32"/>
      <c r="I1" s="32"/>
      <c r="J1" s="32"/>
      <c r="K1" s="32"/>
      <c r="L1" s="32"/>
    </row>
    <row r="2" spans="1:12" ht="23" customHeight="1">
      <c r="A2" s="30" t="s">
        <v>1</v>
      </c>
      <c r="B2" s="30"/>
      <c r="C2" s="30"/>
      <c r="D2" s="30"/>
      <c r="E2" s="30"/>
      <c r="F2" s="30"/>
      <c r="G2" s="30"/>
      <c r="H2" s="30"/>
      <c r="I2" s="30"/>
      <c r="J2" s="30"/>
      <c r="K2" s="30"/>
      <c r="L2" s="30"/>
    </row>
    <row r="4" spans="1:12" ht="38" customHeight="1">
      <c r="A4" s="1" t="s">
        <v>2</v>
      </c>
      <c r="B4" s="1" t="s">
        <v>3</v>
      </c>
      <c r="C4" s="1" t="s">
        <v>4</v>
      </c>
      <c r="D4" s="1" t="s">
        <v>5</v>
      </c>
      <c r="E4" s="1" t="s">
        <v>6</v>
      </c>
      <c r="F4" s="1" t="s">
        <v>7</v>
      </c>
      <c r="G4" s="1" t="s">
        <v>8</v>
      </c>
      <c r="H4" s="1" t="s">
        <v>9</v>
      </c>
      <c r="I4" s="1" t="s">
        <v>10</v>
      </c>
      <c r="J4" s="1" t="s">
        <v>11</v>
      </c>
      <c r="K4" s="1" t="s">
        <v>12</v>
      </c>
      <c r="L4" s="1" t="s">
        <v>13</v>
      </c>
    </row>
    <row r="5" spans="1:12" ht="42">
      <c r="A5" s="4">
        <v>1</v>
      </c>
      <c r="B5" s="6" t="s">
        <v>14</v>
      </c>
      <c r="C5" s="8" t="s">
        <v>15</v>
      </c>
      <c r="D5" s="36" t="s">
        <v>16</v>
      </c>
      <c r="E5" s="34" t="s">
        <v>17</v>
      </c>
      <c r="F5" s="33" t="s">
        <v>18</v>
      </c>
      <c r="G5" s="10"/>
      <c r="H5" s="12" t="s">
        <v>19</v>
      </c>
      <c r="I5" s="14">
        <v>0</v>
      </c>
      <c r="J5" s="16"/>
      <c r="K5" s="2"/>
      <c r="L5" s="2"/>
    </row>
    <row r="6" spans="1:12" ht="56">
      <c r="A6" s="4">
        <v>2</v>
      </c>
      <c r="B6" s="6" t="s">
        <v>14</v>
      </c>
      <c r="C6" s="8" t="s">
        <v>20</v>
      </c>
      <c r="D6" s="36" t="s">
        <v>21</v>
      </c>
      <c r="E6" s="34" t="s">
        <v>22</v>
      </c>
      <c r="F6" s="33" t="s">
        <v>32</v>
      </c>
      <c r="G6" s="10"/>
      <c r="H6" s="12" t="s">
        <v>19</v>
      </c>
      <c r="I6" s="14">
        <v>0</v>
      </c>
      <c r="J6" s="16"/>
      <c r="K6" s="2"/>
      <c r="L6" s="2"/>
    </row>
    <row r="7" spans="1:12" ht="48" customHeight="1">
      <c r="A7" s="4">
        <v>3</v>
      </c>
      <c r="B7" s="6" t="s">
        <v>14</v>
      </c>
      <c r="C7" s="8" t="s">
        <v>23</v>
      </c>
      <c r="D7" s="36" t="s">
        <v>24</v>
      </c>
      <c r="E7" s="34" t="s">
        <v>25</v>
      </c>
      <c r="F7" s="33" t="s">
        <v>285</v>
      </c>
      <c r="G7" s="10"/>
      <c r="H7" s="12" t="s">
        <v>19</v>
      </c>
      <c r="I7" s="14">
        <v>0</v>
      </c>
      <c r="J7" s="16"/>
      <c r="K7" s="2"/>
      <c r="L7" s="2"/>
    </row>
    <row r="8" spans="1:12" ht="24" customHeight="1">
      <c r="A8" s="4">
        <v>4</v>
      </c>
      <c r="B8" s="6" t="s">
        <v>14</v>
      </c>
      <c r="C8" s="8" t="s">
        <v>26</v>
      </c>
      <c r="D8" s="36" t="s">
        <v>27</v>
      </c>
      <c r="E8" s="34" t="s">
        <v>28</v>
      </c>
      <c r="F8" s="33" t="s">
        <v>285</v>
      </c>
      <c r="G8" s="10"/>
      <c r="H8" s="12" t="s">
        <v>19</v>
      </c>
      <c r="I8" s="14">
        <v>0</v>
      </c>
      <c r="J8" s="16"/>
      <c r="K8" s="2"/>
      <c r="L8" s="2"/>
    </row>
    <row r="9" spans="1:12" ht="40.75" customHeight="1">
      <c r="A9" s="4">
        <v>5</v>
      </c>
      <c r="B9" s="6" t="s">
        <v>14</v>
      </c>
      <c r="C9" s="8" t="s">
        <v>29</v>
      </c>
      <c r="D9" s="36" t="s">
        <v>30</v>
      </c>
      <c r="E9" s="34" t="s">
        <v>31</v>
      </c>
      <c r="F9" s="33" t="s">
        <v>32</v>
      </c>
      <c r="G9" s="10"/>
      <c r="H9" s="12" t="s">
        <v>19</v>
      </c>
      <c r="I9" s="14">
        <v>0</v>
      </c>
      <c r="J9" s="16"/>
      <c r="K9" s="2"/>
      <c r="L9" s="2"/>
    </row>
    <row r="10" spans="1:12" ht="36" customHeight="1">
      <c r="A10" s="4">
        <v>6</v>
      </c>
      <c r="B10" s="6" t="s">
        <v>14</v>
      </c>
      <c r="C10" s="8" t="s">
        <v>33</v>
      </c>
      <c r="D10" s="36" t="s">
        <v>34</v>
      </c>
      <c r="E10" s="34" t="s">
        <v>35</v>
      </c>
      <c r="F10" s="33" t="s">
        <v>286</v>
      </c>
      <c r="G10" s="10"/>
      <c r="H10" s="12" t="s">
        <v>19</v>
      </c>
      <c r="I10" s="14">
        <v>0</v>
      </c>
      <c r="J10" s="16"/>
      <c r="K10" s="2"/>
      <c r="L10" s="2"/>
    </row>
    <row r="11" spans="1:12" ht="36" customHeight="1">
      <c r="A11" s="4">
        <v>7</v>
      </c>
      <c r="B11" s="6" t="s">
        <v>14</v>
      </c>
      <c r="C11" s="8" t="s">
        <v>36</v>
      </c>
      <c r="D11" s="36" t="s">
        <v>37</v>
      </c>
      <c r="E11" s="34" t="s">
        <v>38</v>
      </c>
      <c r="F11" s="33" t="s">
        <v>32</v>
      </c>
      <c r="G11" s="10"/>
      <c r="H11" s="12" t="s">
        <v>19</v>
      </c>
      <c r="I11" s="14">
        <v>0</v>
      </c>
      <c r="J11" s="16"/>
      <c r="K11" s="2"/>
      <c r="L11" s="2"/>
    </row>
    <row r="12" spans="1:12" ht="24" customHeight="1">
      <c r="A12" s="4">
        <v>8</v>
      </c>
      <c r="B12" s="6" t="s">
        <v>14</v>
      </c>
      <c r="C12" s="8" t="s">
        <v>39</v>
      </c>
      <c r="D12" s="36" t="s">
        <v>40</v>
      </c>
      <c r="E12" s="34" t="s">
        <v>41</v>
      </c>
      <c r="F12" s="33" t="s">
        <v>32</v>
      </c>
      <c r="G12" s="10"/>
      <c r="H12" s="12" t="s">
        <v>19</v>
      </c>
      <c r="I12" s="14">
        <v>0</v>
      </c>
      <c r="J12" s="16"/>
      <c r="K12" s="2"/>
      <c r="L12" s="2"/>
    </row>
    <row r="13" spans="1:12" ht="72" customHeight="1">
      <c r="A13" s="4">
        <v>9</v>
      </c>
      <c r="B13" s="6" t="s">
        <v>14</v>
      </c>
      <c r="C13" s="8" t="s">
        <v>42</v>
      </c>
      <c r="D13" s="36" t="s">
        <v>43</v>
      </c>
      <c r="E13" s="34" t="s">
        <v>44</v>
      </c>
      <c r="F13" s="33" t="s">
        <v>45</v>
      </c>
      <c r="G13" s="10"/>
      <c r="H13" s="12" t="s">
        <v>19</v>
      </c>
      <c r="I13" s="14">
        <v>0</v>
      </c>
      <c r="J13" s="16"/>
      <c r="K13" s="2"/>
      <c r="L13" s="2"/>
    </row>
    <row r="14" spans="1:12" ht="36" customHeight="1">
      <c r="A14" s="4">
        <v>10</v>
      </c>
      <c r="B14" s="6" t="s">
        <v>14</v>
      </c>
      <c r="C14" s="8" t="s">
        <v>46</v>
      </c>
      <c r="D14" s="36" t="s">
        <v>47</v>
      </c>
      <c r="E14" s="34" t="s">
        <v>48</v>
      </c>
      <c r="F14" s="33" t="s">
        <v>288</v>
      </c>
      <c r="G14" s="10"/>
      <c r="H14" s="12" t="s">
        <v>19</v>
      </c>
      <c r="I14" s="14">
        <v>0</v>
      </c>
      <c r="J14" s="16"/>
      <c r="K14" s="2"/>
      <c r="L14" s="2"/>
    </row>
    <row r="15" spans="1:12" ht="56">
      <c r="A15" s="4">
        <v>11</v>
      </c>
      <c r="B15" s="6" t="s">
        <v>14</v>
      </c>
      <c r="C15" s="8" t="s">
        <v>49</v>
      </c>
      <c r="D15" s="36" t="s">
        <v>50</v>
      </c>
      <c r="E15" s="34" t="s">
        <v>51</v>
      </c>
      <c r="F15" s="33" t="s">
        <v>32</v>
      </c>
      <c r="G15" s="10"/>
      <c r="H15" s="12" t="s">
        <v>19</v>
      </c>
      <c r="I15" s="14">
        <v>0</v>
      </c>
      <c r="J15" s="16"/>
      <c r="K15" s="2"/>
      <c r="L15" s="2"/>
    </row>
    <row r="16" spans="1:12" ht="48" customHeight="1">
      <c r="A16" s="4">
        <v>12</v>
      </c>
      <c r="B16" s="6" t="s">
        <v>14</v>
      </c>
      <c r="C16" s="8" t="s">
        <v>52</v>
      </c>
      <c r="D16" s="36" t="s">
        <v>53</v>
      </c>
      <c r="E16" s="34" t="s">
        <v>54</v>
      </c>
      <c r="F16" s="33" t="s">
        <v>32</v>
      </c>
      <c r="G16" s="10"/>
      <c r="H16" s="12" t="s">
        <v>19</v>
      </c>
      <c r="I16" s="14">
        <v>0</v>
      </c>
      <c r="J16" s="16"/>
      <c r="K16" s="2"/>
      <c r="L16" s="2"/>
    </row>
    <row r="17" spans="1:12" ht="48" customHeight="1">
      <c r="A17" s="4">
        <v>13</v>
      </c>
      <c r="B17" s="6" t="s">
        <v>14</v>
      </c>
      <c r="C17" s="8" t="s">
        <v>55</v>
      </c>
      <c r="D17" s="36" t="s">
        <v>56</v>
      </c>
      <c r="E17" s="34" t="s">
        <v>57</v>
      </c>
      <c r="F17" s="33" t="s">
        <v>32</v>
      </c>
      <c r="G17" s="10"/>
      <c r="H17" s="12" t="s">
        <v>19</v>
      </c>
      <c r="I17" s="14">
        <v>0</v>
      </c>
      <c r="J17" s="16"/>
      <c r="K17" s="2"/>
      <c r="L17" s="2"/>
    </row>
    <row r="18" spans="1:12" ht="24" customHeight="1">
      <c r="A18" s="4">
        <v>14</v>
      </c>
      <c r="B18" s="6" t="s">
        <v>14</v>
      </c>
      <c r="C18" s="8" t="s">
        <v>58</v>
      </c>
      <c r="D18" s="36" t="s">
        <v>59</v>
      </c>
      <c r="E18" s="34" t="s">
        <v>60</v>
      </c>
      <c r="F18" s="33" t="s">
        <v>32</v>
      </c>
      <c r="G18" s="10"/>
      <c r="H18" s="12" t="s">
        <v>19</v>
      </c>
      <c r="I18" s="14">
        <v>0</v>
      </c>
      <c r="J18" s="16"/>
      <c r="K18" s="2"/>
      <c r="L18" s="2"/>
    </row>
    <row r="19" spans="1:12" ht="24" customHeight="1">
      <c r="A19" s="4">
        <v>15</v>
      </c>
      <c r="B19" s="6" t="s">
        <v>61</v>
      </c>
      <c r="C19" s="8" t="s">
        <v>62</v>
      </c>
      <c r="D19" s="36" t="s">
        <v>63</v>
      </c>
      <c r="E19" s="34" t="s">
        <v>64</v>
      </c>
      <c r="F19" s="33" t="s">
        <v>286</v>
      </c>
      <c r="G19" s="10"/>
      <c r="H19" s="12" t="s">
        <v>19</v>
      </c>
      <c r="I19" s="14">
        <v>0</v>
      </c>
      <c r="J19" s="16"/>
      <c r="K19" s="2"/>
      <c r="L19" s="2"/>
    </row>
    <row r="20" spans="1:12" ht="56">
      <c r="A20" s="4">
        <v>16</v>
      </c>
      <c r="B20" s="6" t="s">
        <v>61</v>
      </c>
      <c r="C20" s="8" t="s">
        <v>65</v>
      </c>
      <c r="D20" s="36" t="s">
        <v>66</v>
      </c>
      <c r="E20" s="34" t="s">
        <v>67</v>
      </c>
      <c r="F20" s="33" t="s">
        <v>286</v>
      </c>
      <c r="G20" s="10"/>
      <c r="H20" s="12" t="s">
        <v>19</v>
      </c>
      <c r="I20" s="14">
        <v>0</v>
      </c>
      <c r="J20" s="16"/>
      <c r="K20" s="2"/>
      <c r="L20" s="2"/>
    </row>
    <row r="21" spans="1:12" ht="84">
      <c r="A21" s="4">
        <v>17</v>
      </c>
      <c r="B21" s="6" t="s">
        <v>61</v>
      </c>
      <c r="C21" s="8" t="s">
        <v>68</v>
      </c>
      <c r="D21" s="36" t="s">
        <v>69</v>
      </c>
      <c r="E21" s="34" t="s">
        <v>70</v>
      </c>
      <c r="F21" s="33" t="s">
        <v>32</v>
      </c>
      <c r="G21" s="10"/>
      <c r="H21" s="12" t="s">
        <v>19</v>
      </c>
      <c r="I21" s="14">
        <v>0</v>
      </c>
      <c r="J21" s="16"/>
      <c r="K21" s="2"/>
      <c r="L21" s="2"/>
    </row>
    <row r="22" spans="1:12" ht="48" customHeight="1">
      <c r="A22" s="4">
        <v>18</v>
      </c>
      <c r="B22" s="6" t="s">
        <v>61</v>
      </c>
      <c r="C22" s="8" t="s">
        <v>71</v>
      </c>
      <c r="D22" s="36" t="s">
        <v>72</v>
      </c>
      <c r="E22" s="34" t="s">
        <v>73</v>
      </c>
      <c r="F22" s="33" t="s">
        <v>32</v>
      </c>
      <c r="G22" s="10"/>
      <c r="H22" s="12" t="s">
        <v>19</v>
      </c>
      <c r="I22" s="14">
        <v>0</v>
      </c>
      <c r="J22" s="16"/>
      <c r="K22" s="2"/>
      <c r="L22" s="2"/>
    </row>
    <row r="23" spans="1:12" ht="48" customHeight="1">
      <c r="A23" s="4">
        <v>19</v>
      </c>
      <c r="B23" s="6" t="s">
        <v>61</v>
      </c>
      <c r="C23" s="8" t="s">
        <v>74</v>
      </c>
      <c r="D23" s="36" t="s">
        <v>75</v>
      </c>
      <c r="E23" s="34" t="s">
        <v>76</v>
      </c>
      <c r="F23" s="33" t="s">
        <v>32</v>
      </c>
      <c r="G23" s="10"/>
      <c r="H23" s="12" t="s">
        <v>19</v>
      </c>
      <c r="I23" s="14">
        <v>0</v>
      </c>
      <c r="J23" s="16"/>
      <c r="K23" s="2"/>
      <c r="L23" s="2"/>
    </row>
    <row r="24" spans="1:12" ht="24" customHeight="1">
      <c r="A24" s="4">
        <v>20</v>
      </c>
      <c r="B24" s="6" t="s">
        <v>61</v>
      </c>
      <c r="C24" s="8" t="s">
        <v>77</v>
      </c>
      <c r="D24" s="36" t="s">
        <v>78</v>
      </c>
      <c r="E24" s="34" t="s">
        <v>79</v>
      </c>
      <c r="F24" s="33" t="s">
        <v>32</v>
      </c>
      <c r="G24" s="10"/>
      <c r="H24" s="12" t="s">
        <v>19</v>
      </c>
      <c r="I24" s="14">
        <v>0</v>
      </c>
      <c r="J24" s="16"/>
      <c r="K24" s="2"/>
      <c r="L24" s="2"/>
    </row>
    <row r="25" spans="1:12" ht="60" customHeight="1">
      <c r="A25" s="4">
        <v>21</v>
      </c>
      <c r="B25" s="6" t="s">
        <v>61</v>
      </c>
      <c r="C25" s="8" t="s">
        <v>80</v>
      </c>
      <c r="D25" s="36" t="s">
        <v>81</v>
      </c>
      <c r="E25" s="34" t="s">
        <v>82</v>
      </c>
      <c r="F25" s="33" t="s">
        <v>288</v>
      </c>
      <c r="G25" s="10"/>
      <c r="H25" s="12" t="s">
        <v>19</v>
      </c>
      <c r="I25" s="14">
        <v>0</v>
      </c>
      <c r="J25" s="16"/>
      <c r="K25" s="2"/>
      <c r="L25" s="2"/>
    </row>
    <row r="26" spans="1:12" ht="36" customHeight="1">
      <c r="A26" s="4">
        <v>22</v>
      </c>
      <c r="B26" s="6" t="s">
        <v>61</v>
      </c>
      <c r="C26" s="8" t="s">
        <v>83</v>
      </c>
      <c r="D26" s="36" t="s">
        <v>84</v>
      </c>
      <c r="E26" s="34" t="s">
        <v>85</v>
      </c>
      <c r="F26" s="33" t="s">
        <v>288</v>
      </c>
      <c r="G26" s="10"/>
      <c r="H26" s="12" t="s">
        <v>19</v>
      </c>
      <c r="I26" s="14">
        <v>0</v>
      </c>
      <c r="J26" s="16"/>
      <c r="K26" s="2"/>
      <c r="L26" s="2"/>
    </row>
    <row r="27" spans="1:12" ht="144" customHeight="1">
      <c r="A27" s="4">
        <v>23</v>
      </c>
      <c r="B27" s="6" t="s">
        <v>61</v>
      </c>
      <c r="C27" s="8" t="s">
        <v>86</v>
      </c>
      <c r="D27" s="36" t="s">
        <v>87</v>
      </c>
      <c r="E27" s="34" t="s">
        <v>88</v>
      </c>
      <c r="F27" s="33" t="s">
        <v>32</v>
      </c>
      <c r="G27" s="10"/>
      <c r="H27" s="12" t="s">
        <v>19</v>
      </c>
      <c r="I27" s="14">
        <v>0</v>
      </c>
      <c r="J27" s="16"/>
      <c r="K27" s="2"/>
      <c r="L27" s="2"/>
    </row>
    <row r="28" spans="1:12" ht="24" customHeight="1">
      <c r="A28" s="4">
        <v>24</v>
      </c>
      <c r="B28" s="6" t="s">
        <v>61</v>
      </c>
      <c r="C28" s="8" t="s">
        <v>89</v>
      </c>
      <c r="D28" s="36" t="s">
        <v>90</v>
      </c>
      <c r="E28" s="34" t="s">
        <v>91</v>
      </c>
      <c r="F28" s="33" t="s">
        <v>45</v>
      </c>
      <c r="G28" s="10"/>
      <c r="H28" s="12" t="s">
        <v>19</v>
      </c>
      <c r="I28" s="14">
        <v>0</v>
      </c>
      <c r="J28" s="16"/>
      <c r="K28" s="2"/>
      <c r="L28" s="2"/>
    </row>
    <row r="29" spans="1:12" ht="36" customHeight="1">
      <c r="A29" s="4">
        <v>25</v>
      </c>
      <c r="B29" s="6" t="s">
        <v>61</v>
      </c>
      <c r="C29" s="8" t="s">
        <v>92</v>
      </c>
      <c r="D29" s="36" t="s">
        <v>93</v>
      </c>
      <c r="E29" s="34" t="s">
        <v>94</v>
      </c>
      <c r="F29" s="33" t="s">
        <v>285</v>
      </c>
      <c r="G29" s="10"/>
      <c r="H29" s="12" t="s">
        <v>19</v>
      </c>
      <c r="I29" s="14">
        <v>0</v>
      </c>
      <c r="J29" s="16"/>
      <c r="K29" s="2"/>
      <c r="L29" s="2"/>
    </row>
    <row r="30" spans="1:12" ht="120" customHeight="1">
      <c r="A30" s="4">
        <v>26</v>
      </c>
      <c r="B30" s="6" t="s">
        <v>61</v>
      </c>
      <c r="C30" s="8" t="s">
        <v>95</v>
      </c>
      <c r="D30" s="36" t="s">
        <v>96</v>
      </c>
      <c r="E30" s="34" t="s">
        <v>97</v>
      </c>
      <c r="F30" s="33" t="s">
        <v>32</v>
      </c>
      <c r="G30" s="10"/>
      <c r="H30" s="12" t="s">
        <v>19</v>
      </c>
      <c r="I30" s="14">
        <v>0</v>
      </c>
      <c r="J30" s="16"/>
      <c r="K30" s="2"/>
      <c r="L30" s="2"/>
    </row>
    <row r="31" spans="1:12" ht="36" customHeight="1">
      <c r="A31" s="4">
        <v>27</v>
      </c>
      <c r="B31" s="6" t="s">
        <v>61</v>
      </c>
      <c r="C31" s="8" t="s">
        <v>98</v>
      </c>
      <c r="D31" s="36" t="s">
        <v>99</v>
      </c>
      <c r="E31" s="34" t="s">
        <v>100</v>
      </c>
      <c r="F31" s="33" t="s">
        <v>45</v>
      </c>
      <c r="G31" s="10"/>
      <c r="H31" s="12" t="s">
        <v>19</v>
      </c>
      <c r="I31" s="14">
        <v>0</v>
      </c>
      <c r="J31" s="16"/>
      <c r="K31" s="2"/>
      <c r="L31" s="2"/>
    </row>
    <row r="32" spans="1:12" ht="132" customHeight="1">
      <c r="A32" s="4">
        <v>28</v>
      </c>
      <c r="B32" s="6" t="s">
        <v>61</v>
      </c>
      <c r="C32" s="8" t="s">
        <v>101</v>
      </c>
      <c r="D32" s="36" t="s">
        <v>102</v>
      </c>
      <c r="E32" s="34" t="s">
        <v>103</v>
      </c>
      <c r="F32" s="33" t="s">
        <v>288</v>
      </c>
      <c r="G32" s="10"/>
      <c r="H32" s="12" t="s">
        <v>19</v>
      </c>
      <c r="I32" s="14">
        <v>0</v>
      </c>
      <c r="J32" s="16"/>
      <c r="K32" s="2"/>
      <c r="L32" s="2"/>
    </row>
    <row r="33" spans="1:12" ht="24" customHeight="1">
      <c r="A33" s="4">
        <v>29</v>
      </c>
      <c r="B33" s="6" t="s">
        <v>61</v>
      </c>
      <c r="C33" s="8" t="s">
        <v>104</v>
      </c>
      <c r="D33" s="36" t="s">
        <v>105</v>
      </c>
      <c r="E33" s="34" t="s">
        <v>106</v>
      </c>
      <c r="F33" s="33" t="s">
        <v>45</v>
      </c>
      <c r="G33" s="10"/>
      <c r="H33" s="12" t="s">
        <v>19</v>
      </c>
      <c r="I33" s="14">
        <v>0</v>
      </c>
      <c r="J33" s="16"/>
      <c r="K33" s="2"/>
      <c r="L33" s="2"/>
    </row>
    <row r="34" spans="1:12" ht="84" customHeight="1">
      <c r="A34" s="4">
        <v>30</v>
      </c>
      <c r="B34" s="6" t="s">
        <v>61</v>
      </c>
      <c r="C34" s="8" t="s">
        <v>107</v>
      </c>
      <c r="D34" s="36" t="s">
        <v>108</v>
      </c>
      <c r="E34" s="34" t="s">
        <v>109</v>
      </c>
      <c r="F34" s="33" t="s">
        <v>32</v>
      </c>
      <c r="G34" s="10"/>
      <c r="H34" s="12" t="s">
        <v>19</v>
      </c>
      <c r="I34" s="14">
        <v>0</v>
      </c>
      <c r="J34" s="16"/>
      <c r="K34" s="2"/>
      <c r="L34" s="2"/>
    </row>
    <row r="35" spans="1:12" ht="144" customHeight="1">
      <c r="A35" s="4">
        <v>31</v>
      </c>
      <c r="B35" s="6" t="s">
        <v>61</v>
      </c>
      <c r="C35" s="8" t="s">
        <v>110</v>
      </c>
      <c r="D35" s="36" t="s">
        <v>111</v>
      </c>
      <c r="E35" s="34" t="s">
        <v>112</v>
      </c>
      <c r="F35" s="33" t="s">
        <v>285</v>
      </c>
      <c r="G35" s="10"/>
      <c r="H35" s="12" t="s">
        <v>19</v>
      </c>
      <c r="I35" s="14">
        <v>0</v>
      </c>
      <c r="J35" s="16"/>
      <c r="K35" s="2"/>
      <c r="L35" s="2"/>
    </row>
    <row r="36" spans="1:12" ht="120" customHeight="1">
      <c r="A36" s="4">
        <v>32</v>
      </c>
      <c r="B36" s="6" t="s">
        <v>61</v>
      </c>
      <c r="C36" s="8" t="s">
        <v>113</v>
      </c>
      <c r="D36" s="36" t="s">
        <v>114</v>
      </c>
      <c r="E36" s="34" t="s">
        <v>115</v>
      </c>
      <c r="F36" s="33" t="s">
        <v>288</v>
      </c>
      <c r="G36" s="10"/>
      <c r="H36" s="12" t="s">
        <v>19</v>
      </c>
      <c r="I36" s="14">
        <v>0</v>
      </c>
      <c r="J36" s="16"/>
      <c r="K36" s="2"/>
      <c r="L36" s="2"/>
    </row>
    <row r="37" spans="1:12" ht="24" customHeight="1">
      <c r="A37" s="4">
        <v>33</v>
      </c>
      <c r="B37" s="6" t="s">
        <v>61</v>
      </c>
      <c r="C37" s="8" t="s">
        <v>116</v>
      </c>
      <c r="D37" s="36" t="s">
        <v>117</v>
      </c>
      <c r="E37" s="34" t="s">
        <v>118</v>
      </c>
      <c r="F37" s="33" t="s">
        <v>288</v>
      </c>
      <c r="G37" s="10"/>
      <c r="H37" s="12" t="s">
        <v>19</v>
      </c>
      <c r="I37" s="14">
        <v>0</v>
      </c>
      <c r="J37" s="16"/>
      <c r="K37" s="2"/>
      <c r="L37" s="2"/>
    </row>
    <row r="38" spans="1:12" ht="72" customHeight="1">
      <c r="A38" s="4">
        <v>34</v>
      </c>
      <c r="B38" s="6" t="s">
        <v>61</v>
      </c>
      <c r="C38" s="8" t="s">
        <v>119</v>
      </c>
      <c r="D38" s="36" t="s">
        <v>120</v>
      </c>
      <c r="E38" s="34" t="s">
        <v>121</v>
      </c>
      <c r="F38" s="33" t="s">
        <v>45</v>
      </c>
      <c r="G38" s="10"/>
      <c r="H38" s="12" t="s">
        <v>19</v>
      </c>
      <c r="I38" s="14">
        <v>0</v>
      </c>
      <c r="J38" s="16"/>
      <c r="K38" s="2"/>
      <c r="L38" s="2"/>
    </row>
    <row r="39" spans="1:12" ht="24" customHeight="1">
      <c r="A39" s="4">
        <v>35</v>
      </c>
      <c r="B39" s="6" t="s">
        <v>61</v>
      </c>
      <c r="C39" s="8" t="s">
        <v>122</v>
      </c>
      <c r="D39" s="36" t="s">
        <v>123</v>
      </c>
      <c r="E39" s="34" t="s">
        <v>124</v>
      </c>
      <c r="F39" s="33" t="s">
        <v>288</v>
      </c>
      <c r="G39" s="10"/>
      <c r="H39" s="12" t="s">
        <v>19</v>
      </c>
      <c r="I39" s="14">
        <v>0</v>
      </c>
      <c r="J39" s="16"/>
      <c r="K39" s="2"/>
      <c r="L39" s="2"/>
    </row>
    <row r="40" spans="1:12" ht="48" customHeight="1">
      <c r="A40" s="4">
        <v>36</v>
      </c>
      <c r="B40" s="6" t="s">
        <v>61</v>
      </c>
      <c r="C40" s="8" t="s">
        <v>125</v>
      </c>
      <c r="D40" s="36" t="s">
        <v>126</v>
      </c>
      <c r="E40" s="34" t="s">
        <v>127</v>
      </c>
      <c r="F40" s="33" t="s">
        <v>288</v>
      </c>
      <c r="G40" s="10"/>
      <c r="H40" s="12" t="s">
        <v>19</v>
      </c>
      <c r="I40" s="14">
        <v>0</v>
      </c>
      <c r="J40" s="16"/>
      <c r="K40" s="2"/>
      <c r="L40" s="2"/>
    </row>
    <row r="41" spans="1:12" ht="36" customHeight="1">
      <c r="A41" s="4">
        <v>37</v>
      </c>
      <c r="B41" s="6" t="s">
        <v>128</v>
      </c>
      <c r="C41" s="8" t="s">
        <v>129</v>
      </c>
      <c r="D41" s="36" t="s">
        <v>130</v>
      </c>
      <c r="E41" s="34" t="s">
        <v>131</v>
      </c>
      <c r="F41" s="33" t="s">
        <v>288</v>
      </c>
      <c r="G41" s="10"/>
      <c r="H41" s="12" t="s">
        <v>19</v>
      </c>
      <c r="I41" s="14">
        <v>0</v>
      </c>
      <c r="J41" s="16"/>
      <c r="K41" s="2"/>
      <c r="L41" s="2"/>
    </row>
    <row r="42" spans="1:12" ht="36" customHeight="1">
      <c r="A42" s="4">
        <v>38</v>
      </c>
      <c r="B42" s="6" t="s">
        <v>128</v>
      </c>
      <c r="C42" s="8" t="s">
        <v>132</v>
      </c>
      <c r="D42" s="36" t="s">
        <v>133</v>
      </c>
      <c r="E42" s="34" t="s">
        <v>134</v>
      </c>
      <c r="F42" s="33" t="s">
        <v>45</v>
      </c>
      <c r="G42" s="10"/>
      <c r="H42" s="12" t="s">
        <v>19</v>
      </c>
      <c r="I42" s="14">
        <v>0</v>
      </c>
      <c r="J42" s="16"/>
      <c r="K42" s="2"/>
      <c r="L42" s="2"/>
    </row>
    <row r="43" spans="1:12" ht="24" customHeight="1">
      <c r="A43" s="4">
        <v>39</v>
      </c>
      <c r="B43" s="6" t="s">
        <v>128</v>
      </c>
      <c r="C43" s="8" t="s">
        <v>135</v>
      </c>
      <c r="D43" s="36" t="s">
        <v>136</v>
      </c>
      <c r="E43" s="34" t="s">
        <v>137</v>
      </c>
      <c r="F43" s="33" t="s">
        <v>32</v>
      </c>
      <c r="G43" s="10"/>
      <c r="H43" s="12" t="s">
        <v>19</v>
      </c>
      <c r="I43" s="14">
        <v>0</v>
      </c>
      <c r="J43" s="16"/>
      <c r="K43" s="2"/>
      <c r="L43" s="2"/>
    </row>
    <row r="44" spans="1:12" ht="72" customHeight="1">
      <c r="A44" s="4">
        <v>40</v>
      </c>
      <c r="B44" s="6" t="s">
        <v>128</v>
      </c>
      <c r="C44" s="8" t="s">
        <v>138</v>
      </c>
      <c r="D44" s="36" t="s">
        <v>139</v>
      </c>
      <c r="E44" s="34" t="s">
        <v>140</v>
      </c>
      <c r="F44" s="33" t="s">
        <v>32</v>
      </c>
      <c r="G44" s="10"/>
      <c r="H44" s="12" t="s">
        <v>19</v>
      </c>
      <c r="I44" s="14">
        <v>0</v>
      </c>
      <c r="J44" s="16"/>
      <c r="K44" s="2"/>
      <c r="L44" s="2"/>
    </row>
    <row r="45" spans="1:12" ht="72" customHeight="1">
      <c r="A45" s="4">
        <v>41</v>
      </c>
      <c r="B45" s="6" t="s">
        <v>128</v>
      </c>
      <c r="C45" s="8" t="s">
        <v>141</v>
      </c>
      <c r="D45" s="36" t="s">
        <v>142</v>
      </c>
      <c r="E45" s="34" t="s">
        <v>143</v>
      </c>
      <c r="F45" s="33" t="s">
        <v>288</v>
      </c>
      <c r="G45" s="10"/>
      <c r="H45" s="12" t="s">
        <v>19</v>
      </c>
      <c r="I45" s="14">
        <v>0</v>
      </c>
      <c r="J45" s="16"/>
      <c r="K45" s="2"/>
      <c r="L45" s="2"/>
    </row>
    <row r="46" spans="1:12" ht="48" customHeight="1">
      <c r="A46" s="4">
        <v>42</v>
      </c>
      <c r="B46" s="6" t="s">
        <v>128</v>
      </c>
      <c r="C46" s="8" t="s">
        <v>144</v>
      </c>
      <c r="D46" s="36" t="s">
        <v>145</v>
      </c>
      <c r="E46" s="34" t="s">
        <v>146</v>
      </c>
      <c r="F46" s="33" t="s">
        <v>32</v>
      </c>
      <c r="G46" s="10"/>
      <c r="H46" s="12" t="s">
        <v>19</v>
      </c>
      <c r="I46" s="14">
        <v>0</v>
      </c>
      <c r="J46" s="16"/>
      <c r="K46" s="2"/>
      <c r="L46" s="2"/>
    </row>
    <row r="47" spans="1:12" ht="24" customHeight="1">
      <c r="A47" s="4">
        <v>43</v>
      </c>
      <c r="B47" s="6" t="s">
        <v>128</v>
      </c>
      <c r="C47" s="8" t="s">
        <v>147</v>
      </c>
      <c r="D47" s="36" t="s">
        <v>148</v>
      </c>
      <c r="E47" s="34" t="s">
        <v>149</v>
      </c>
      <c r="F47" s="33" t="s">
        <v>288</v>
      </c>
      <c r="G47" s="10"/>
      <c r="H47" s="12" t="s">
        <v>19</v>
      </c>
      <c r="I47" s="14">
        <v>0</v>
      </c>
      <c r="J47" s="16"/>
      <c r="K47" s="2"/>
      <c r="L47" s="2"/>
    </row>
    <row r="48" spans="1:12" ht="84" customHeight="1">
      <c r="A48" s="4">
        <v>44</v>
      </c>
      <c r="B48" s="6" t="s">
        <v>128</v>
      </c>
      <c r="C48" s="8" t="s">
        <v>150</v>
      </c>
      <c r="D48" s="36" t="s">
        <v>151</v>
      </c>
      <c r="E48" s="34" t="s">
        <v>152</v>
      </c>
      <c r="F48" s="33" t="s">
        <v>288</v>
      </c>
      <c r="G48" s="10"/>
      <c r="H48" s="12" t="s">
        <v>19</v>
      </c>
      <c r="I48" s="14">
        <v>0</v>
      </c>
      <c r="J48" s="16"/>
      <c r="K48" s="2"/>
      <c r="L48" s="2"/>
    </row>
    <row r="49" spans="1:12" ht="48" customHeight="1">
      <c r="A49" s="4">
        <v>45</v>
      </c>
      <c r="B49" s="6" t="s">
        <v>128</v>
      </c>
      <c r="C49" s="8" t="s">
        <v>153</v>
      </c>
      <c r="D49" s="36" t="s">
        <v>154</v>
      </c>
      <c r="E49" s="34" t="s">
        <v>155</v>
      </c>
      <c r="F49" s="33" t="s">
        <v>288</v>
      </c>
      <c r="G49" s="10"/>
      <c r="H49" s="12" t="s">
        <v>19</v>
      </c>
      <c r="I49" s="14">
        <v>0</v>
      </c>
      <c r="J49" s="16"/>
      <c r="K49" s="2"/>
      <c r="L49" s="2"/>
    </row>
    <row r="50" spans="1:12" ht="24" customHeight="1">
      <c r="A50" s="4">
        <v>46</v>
      </c>
      <c r="B50" s="6" t="s">
        <v>128</v>
      </c>
      <c r="C50" s="8" t="s">
        <v>156</v>
      </c>
      <c r="D50" s="36" t="s">
        <v>157</v>
      </c>
      <c r="E50" s="34" t="s">
        <v>158</v>
      </c>
      <c r="F50" s="33" t="s">
        <v>32</v>
      </c>
      <c r="G50" s="10"/>
      <c r="H50" s="12" t="s">
        <v>19</v>
      </c>
      <c r="I50" s="14">
        <v>0</v>
      </c>
      <c r="J50" s="16"/>
      <c r="K50" s="2"/>
      <c r="L50" s="2"/>
    </row>
    <row r="51" spans="1:12" ht="48" customHeight="1">
      <c r="A51" s="4">
        <v>47</v>
      </c>
      <c r="B51" s="6" t="s">
        <v>128</v>
      </c>
      <c r="C51" s="8" t="s">
        <v>159</v>
      </c>
      <c r="D51" s="36" t="s">
        <v>160</v>
      </c>
      <c r="E51" s="34" t="s">
        <v>161</v>
      </c>
      <c r="F51" s="33" t="s">
        <v>32</v>
      </c>
      <c r="G51" s="10"/>
      <c r="H51" s="12" t="s">
        <v>19</v>
      </c>
      <c r="I51" s="14">
        <v>0</v>
      </c>
      <c r="J51" s="16"/>
      <c r="K51" s="2"/>
      <c r="L51" s="2"/>
    </row>
    <row r="52" spans="1:12" ht="60" customHeight="1">
      <c r="A52" s="4">
        <v>48</v>
      </c>
      <c r="B52" s="6" t="s">
        <v>128</v>
      </c>
      <c r="C52" s="8" t="s">
        <v>162</v>
      </c>
      <c r="D52" s="36" t="s">
        <v>163</v>
      </c>
      <c r="E52" s="34" t="s">
        <v>164</v>
      </c>
      <c r="F52" s="33" t="s">
        <v>288</v>
      </c>
      <c r="G52" s="10"/>
      <c r="H52" s="12" t="s">
        <v>19</v>
      </c>
      <c r="I52" s="14">
        <v>0</v>
      </c>
      <c r="J52" s="16"/>
      <c r="K52" s="2"/>
      <c r="L52" s="2"/>
    </row>
    <row r="53" spans="1:12" ht="84" customHeight="1">
      <c r="A53" s="4">
        <v>49</v>
      </c>
      <c r="B53" s="6" t="s">
        <v>128</v>
      </c>
      <c r="C53" s="8" t="s">
        <v>165</v>
      </c>
      <c r="D53" s="36" t="s">
        <v>166</v>
      </c>
      <c r="E53" s="34" t="s">
        <v>167</v>
      </c>
      <c r="F53" s="33" t="s">
        <v>288</v>
      </c>
      <c r="G53" s="10"/>
      <c r="H53" s="12" t="s">
        <v>19</v>
      </c>
      <c r="I53" s="14">
        <v>0</v>
      </c>
      <c r="J53" s="16"/>
      <c r="K53" s="2"/>
      <c r="L53" s="2"/>
    </row>
    <row r="54" spans="1:12" ht="48" customHeight="1">
      <c r="A54" s="4">
        <v>50</v>
      </c>
      <c r="B54" s="6" t="s">
        <v>128</v>
      </c>
      <c r="C54" s="8" t="s">
        <v>168</v>
      </c>
      <c r="D54" s="36" t="s">
        <v>169</v>
      </c>
      <c r="E54" s="34" t="s">
        <v>170</v>
      </c>
      <c r="F54" s="33" t="s">
        <v>32</v>
      </c>
      <c r="G54" s="10"/>
      <c r="H54" s="12" t="s">
        <v>19</v>
      </c>
      <c r="I54" s="14">
        <v>0</v>
      </c>
      <c r="J54" s="16"/>
      <c r="K54" s="2"/>
      <c r="L54" s="2"/>
    </row>
    <row r="55" spans="1:12" ht="28.75" customHeight="1">
      <c r="A55" s="4">
        <v>51</v>
      </c>
      <c r="B55" s="6" t="s">
        <v>128</v>
      </c>
      <c r="C55" s="8" t="s">
        <v>171</v>
      </c>
      <c r="D55" s="36" t="s">
        <v>172</v>
      </c>
      <c r="E55" s="34" t="s">
        <v>173</v>
      </c>
      <c r="F55" s="33" t="s">
        <v>32</v>
      </c>
      <c r="G55" s="10"/>
      <c r="H55" s="12" t="s">
        <v>19</v>
      </c>
      <c r="I55" s="14">
        <v>0</v>
      </c>
      <c r="J55" s="16"/>
      <c r="K55" s="2"/>
      <c r="L55" s="2"/>
    </row>
    <row r="56" spans="1:12" ht="72" customHeight="1">
      <c r="A56" s="4">
        <v>52</v>
      </c>
      <c r="B56" s="6" t="s">
        <v>128</v>
      </c>
      <c r="C56" s="8" t="s">
        <v>174</v>
      </c>
      <c r="D56" s="36" t="s">
        <v>175</v>
      </c>
      <c r="E56" s="34" t="s">
        <v>176</v>
      </c>
      <c r="F56" s="33" t="s">
        <v>32</v>
      </c>
      <c r="G56" s="10"/>
      <c r="H56" s="12" t="s">
        <v>19</v>
      </c>
      <c r="I56" s="14">
        <v>0</v>
      </c>
      <c r="J56" s="16"/>
      <c r="K56" s="2"/>
      <c r="L56" s="2"/>
    </row>
    <row r="57" spans="1:12" ht="24" customHeight="1">
      <c r="A57" s="4">
        <v>53</v>
      </c>
      <c r="B57" s="6" t="s">
        <v>177</v>
      </c>
      <c r="C57" s="8" t="s">
        <v>178</v>
      </c>
      <c r="D57" s="36" t="s">
        <v>179</v>
      </c>
      <c r="E57" s="34" t="s">
        <v>180</v>
      </c>
      <c r="F57" s="33" t="s">
        <v>32</v>
      </c>
      <c r="G57" s="10"/>
      <c r="H57" s="12" t="s">
        <v>19</v>
      </c>
      <c r="I57" s="14">
        <v>0</v>
      </c>
      <c r="J57" s="16"/>
      <c r="K57" s="2"/>
      <c r="L57" s="2"/>
    </row>
    <row r="58" spans="1:12" ht="60" customHeight="1">
      <c r="A58" s="4">
        <v>54</v>
      </c>
      <c r="B58" s="6" t="s">
        <v>177</v>
      </c>
      <c r="C58" s="8" t="s">
        <v>181</v>
      </c>
      <c r="D58" s="36" t="s">
        <v>182</v>
      </c>
      <c r="E58" s="34" t="s">
        <v>183</v>
      </c>
      <c r="F58" s="33" t="s">
        <v>45</v>
      </c>
      <c r="G58" s="10"/>
      <c r="H58" s="12" t="s">
        <v>19</v>
      </c>
      <c r="I58" s="14">
        <v>0</v>
      </c>
      <c r="J58" s="16"/>
      <c r="K58" s="2"/>
      <c r="L58" s="2"/>
    </row>
    <row r="59" spans="1:12" ht="36" customHeight="1">
      <c r="A59" s="4">
        <v>55</v>
      </c>
      <c r="B59" s="6" t="s">
        <v>184</v>
      </c>
      <c r="C59" s="8" t="s">
        <v>185</v>
      </c>
      <c r="D59" s="36" t="s">
        <v>186</v>
      </c>
      <c r="E59" s="34" t="s">
        <v>187</v>
      </c>
      <c r="F59" s="33" t="s">
        <v>188</v>
      </c>
      <c r="G59" s="10"/>
      <c r="H59" s="12" t="s">
        <v>19</v>
      </c>
      <c r="I59" s="14">
        <v>0</v>
      </c>
      <c r="J59" s="16"/>
      <c r="K59" s="2"/>
      <c r="L59" s="2"/>
    </row>
    <row r="60" spans="1:12" ht="24" customHeight="1">
      <c r="A60" s="4">
        <v>56</v>
      </c>
      <c r="B60" s="6" t="s">
        <v>184</v>
      </c>
      <c r="C60" s="8" t="s">
        <v>189</v>
      </c>
      <c r="D60" s="36" t="s">
        <v>190</v>
      </c>
      <c r="E60" s="34" t="s">
        <v>191</v>
      </c>
      <c r="F60" s="33" t="s">
        <v>188</v>
      </c>
      <c r="G60" s="10"/>
      <c r="H60" s="12" t="s">
        <v>19</v>
      </c>
      <c r="I60" s="14">
        <v>0</v>
      </c>
      <c r="J60" s="16"/>
      <c r="K60" s="2"/>
      <c r="L60" s="2"/>
    </row>
    <row r="61" spans="1:12" ht="24" customHeight="1">
      <c r="A61" s="4">
        <v>57</v>
      </c>
      <c r="B61" s="6" t="s">
        <v>184</v>
      </c>
      <c r="C61" s="8" t="s">
        <v>192</v>
      </c>
      <c r="D61" s="36" t="s">
        <v>193</v>
      </c>
      <c r="E61" s="34" t="s">
        <v>194</v>
      </c>
      <c r="F61" s="33" t="s">
        <v>188</v>
      </c>
      <c r="G61" s="10"/>
      <c r="H61" s="12" t="s">
        <v>19</v>
      </c>
      <c r="I61" s="14">
        <v>0</v>
      </c>
      <c r="J61" s="16"/>
      <c r="K61" s="2"/>
      <c r="L61" s="2"/>
    </row>
    <row r="62" spans="1:12" ht="24" customHeight="1">
      <c r="A62" s="4">
        <v>58</v>
      </c>
      <c r="B62" s="6" t="s">
        <v>184</v>
      </c>
      <c r="C62" s="8" t="s">
        <v>195</v>
      </c>
      <c r="D62" s="36" t="s">
        <v>196</v>
      </c>
      <c r="E62" s="34" t="s">
        <v>197</v>
      </c>
      <c r="F62" s="33" t="s">
        <v>188</v>
      </c>
      <c r="G62" s="10"/>
      <c r="H62" s="12" t="s">
        <v>19</v>
      </c>
      <c r="I62" s="14">
        <v>0</v>
      </c>
      <c r="J62" s="16"/>
      <c r="K62" s="2"/>
      <c r="L62" s="2"/>
    </row>
    <row r="63" spans="1:12" ht="24" customHeight="1">
      <c r="A63" s="4">
        <v>59</v>
      </c>
      <c r="B63" s="6" t="s">
        <v>184</v>
      </c>
      <c r="C63" s="8" t="s">
        <v>198</v>
      </c>
      <c r="D63" s="36" t="s">
        <v>199</v>
      </c>
      <c r="E63" s="34" t="s">
        <v>200</v>
      </c>
      <c r="F63" s="33" t="s">
        <v>188</v>
      </c>
      <c r="G63" s="10"/>
      <c r="H63" s="12" t="s">
        <v>19</v>
      </c>
      <c r="I63" s="14">
        <v>0</v>
      </c>
      <c r="J63" s="16"/>
      <c r="K63" s="2"/>
      <c r="L63" s="2"/>
    </row>
    <row r="64" spans="1:12" ht="60" customHeight="1">
      <c r="A64" s="4">
        <v>60</v>
      </c>
      <c r="B64" s="6" t="s">
        <v>184</v>
      </c>
      <c r="C64" s="8" t="s">
        <v>201</v>
      </c>
      <c r="D64" s="36" t="s">
        <v>202</v>
      </c>
      <c r="E64" s="34" t="s">
        <v>203</v>
      </c>
      <c r="F64" s="33" t="s">
        <v>188</v>
      </c>
      <c r="G64" s="10"/>
      <c r="H64" s="12" t="s">
        <v>19</v>
      </c>
      <c r="I64" s="14">
        <v>0</v>
      </c>
      <c r="J64" s="16"/>
      <c r="K64" s="2"/>
      <c r="L64" s="2"/>
    </row>
    <row r="65" spans="1:12" ht="24" customHeight="1">
      <c r="A65" s="4">
        <v>61</v>
      </c>
      <c r="B65" s="6" t="s">
        <v>184</v>
      </c>
      <c r="C65" s="8" t="s">
        <v>204</v>
      </c>
      <c r="D65" s="36" t="s">
        <v>205</v>
      </c>
      <c r="E65" s="34" t="s">
        <v>206</v>
      </c>
      <c r="F65" s="33" t="s">
        <v>287</v>
      </c>
      <c r="G65" s="10"/>
      <c r="H65" s="12" t="s">
        <v>19</v>
      </c>
      <c r="I65" s="14">
        <v>0</v>
      </c>
      <c r="J65" s="16"/>
      <c r="K65" s="2"/>
      <c r="L65" s="2"/>
    </row>
    <row r="66" spans="1:12" ht="24" customHeight="1">
      <c r="A66" s="4">
        <v>62</v>
      </c>
      <c r="B66" s="6" t="s">
        <v>184</v>
      </c>
      <c r="C66" s="8" t="s">
        <v>207</v>
      </c>
      <c r="D66" s="36" t="s">
        <v>208</v>
      </c>
      <c r="E66" s="34" t="s">
        <v>209</v>
      </c>
      <c r="F66" s="33" t="s">
        <v>287</v>
      </c>
      <c r="G66" s="10"/>
      <c r="H66" s="12" t="s">
        <v>19</v>
      </c>
      <c r="I66" s="14">
        <v>0</v>
      </c>
      <c r="J66" s="16"/>
      <c r="K66" s="2"/>
      <c r="L66" s="2"/>
    </row>
    <row r="67" spans="1:12" ht="24" customHeight="1">
      <c r="A67" s="4">
        <v>63</v>
      </c>
      <c r="B67" s="6" t="s">
        <v>184</v>
      </c>
      <c r="C67" s="8" t="s">
        <v>210</v>
      </c>
      <c r="D67" s="36" t="s">
        <v>211</v>
      </c>
      <c r="E67" s="34" t="s">
        <v>212</v>
      </c>
      <c r="F67" s="33" t="s">
        <v>32</v>
      </c>
      <c r="G67" s="10"/>
      <c r="H67" s="12" t="s">
        <v>19</v>
      </c>
      <c r="I67" s="14">
        <v>0</v>
      </c>
      <c r="J67" s="16"/>
      <c r="K67" s="2"/>
      <c r="L67" s="2"/>
    </row>
    <row r="68" spans="1:12" ht="36" customHeight="1">
      <c r="A68" s="4">
        <v>64</v>
      </c>
      <c r="B68" s="6" t="s">
        <v>184</v>
      </c>
      <c r="C68" s="8" t="s">
        <v>213</v>
      </c>
      <c r="D68" s="36" t="s">
        <v>214</v>
      </c>
      <c r="E68" s="34" t="s">
        <v>215</v>
      </c>
      <c r="F68" s="33" t="s">
        <v>288</v>
      </c>
      <c r="G68" s="10"/>
      <c r="H68" s="12" t="s">
        <v>19</v>
      </c>
      <c r="I68" s="14">
        <v>0</v>
      </c>
      <c r="J68" s="16"/>
      <c r="K68" s="2"/>
      <c r="L68" s="2"/>
    </row>
    <row r="69" spans="1:12" ht="36" customHeight="1">
      <c r="A69" s="4">
        <v>65</v>
      </c>
      <c r="B69" s="6" t="s">
        <v>184</v>
      </c>
      <c r="C69" s="8" t="s">
        <v>216</v>
      </c>
      <c r="D69" s="36" t="s">
        <v>217</v>
      </c>
      <c r="E69" s="34" t="s">
        <v>218</v>
      </c>
      <c r="F69" s="33" t="s">
        <v>32</v>
      </c>
      <c r="G69" s="10"/>
      <c r="H69" s="12" t="s">
        <v>19</v>
      </c>
      <c r="I69" s="14">
        <v>0</v>
      </c>
      <c r="J69" s="16"/>
      <c r="K69" s="2"/>
      <c r="L69" s="2"/>
    </row>
    <row r="70" spans="1:12" ht="48" customHeight="1">
      <c r="A70" s="4">
        <v>66</v>
      </c>
      <c r="B70" s="6" t="s">
        <v>184</v>
      </c>
      <c r="C70" s="8" t="s">
        <v>219</v>
      </c>
      <c r="D70" s="36" t="s">
        <v>220</v>
      </c>
      <c r="E70" s="34" t="s">
        <v>221</v>
      </c>
      <c r="F70" s="33" t="s">
        <v>287</v>
      </c>
      <c r="G70" s="10"/>
      <c r="H70" s="12" t="s">
        <v>19</v>
      </c>
      <c r="I70" s="14">
        <v>0</v>
      </c>
      <c r="J70" s="16"/>
      <c r="K70" s="2"/>
      <c r="L70" s="2"/>
    </row>
    <row r="71" spans="1:12" ht="36" customHeight="1">
      <c r="A71" s="4">
        <v>67</v>
      </c>
      <c r="B71" s="6" t="s">
        <v>184</v>
      </c>
      <c r="C71" s="8" t="s">
        <v>222</v>
      </c>
      <c r="D71" s="36" t="s">
        <v>223</v>
      </c>
      <c r="E71" s="34" t="s">
        <v>224</v>
      </c>
      <c r="F71" s="33" t="s">
        <v>287</v>
      </c>
      <c r="G71" s="10"/>
      <c r="H71" s="12" t="s">
        <v>19</v>
      </c>
      <c r="I71" s="14">
        <v>0</v>
      </c>
      <c r="J71" s="16"/>
      <c r="K71" s="2"/>
      <c r="L71" s="2"/>
    </row>
    <row r="72" spans="1:12" ht="36" customHeight="1">
      <c r="A72" s="4">
        <v>68</v>
      </c>
      <c r="B72" s="6" t="s">
        <v>184</v>
      </c>
      <c r="C72" s="8" t="s">
        <v>225</v>
      </c>
      <c r="D72" s="36" t="s">
        <v>226</v>
      </c>
      <c r="E72" s="34" t="s">
        <v>227</v>
      </c>
      <c r="F72" s="33" t="s">
        <v>188</v>
      </c>
      <c r="G72" s="10"/>
      <c r="H72" s="12" t="s">
        <v>19</v>
      </c>
      <c r="I72" s="14">
        <v>0</v>
      </c>
      <c r="J72" s="16"/>
      <c r="K72" s="2"/>
      <c r="L72" s="2"/>
    </row>
    <row r="73" spans="1:12" ht="36" customHeight="1">
      <c r="A73" s="4">
        <v>69</v>
      </c>
      <c r="B73" s="6" t="s">
        <v>184</v>
      </c>
      <c r="C73" s="8" t="s">
        <v>228</v>
      </c>
      <c r="D73" s="36" t="s">
        <v>229</v>
      </c>
      <c r="E73" s="34" t="s">
        <v>230</v>
      </c>
      <c r="F73" s="33" t="s">
        <v>287</v>
      </c>
      <c r="G73" s="10"/>
      <c r="H73" s="12" t="s">
        <v>19</v>
      </c>
      <c r="I73" s="14">
        <v>0</v>
      </c>
      <c r="J73" s="16"/>
      <c r="K73" s="2"/>
      <c r="L73" s="2"/>
    </row>
    <row r="74" spans="1:12" ht="36" customHeight="1">
      <c r="A74" s="4">
        <v>70</v>
      </c>
      <c r="B74" s="6" t="s">
        <v>184</v>
      </c>
      <c r="C74" s="8" t="s">
        <v>231</v>
      </c>
      <c r="D74" s="36" t="s">
        <v>232</v>
      </c>
      <c r="E74" s="34" t="s">
        <v>233</v>
      </c>
      <c r="F74" s="33" t="s">
        <v>287</v>
      </c>
      <c r="G74" s="10"/>
      <c r="H74" s="12" t="s">
        <v>19</v>
      </c>
      <c r="I74" s="14">
        <v>0</v>
      </c>
      <c r="J74" s="16"/>
      <c r="K74" s="2"/>
      <c r="L74" s="2"/>
    </row>
    <row r="75" spans="1:12" ht="60" customHeight="1">
      <c r="A75" s="4">
        <v>71</v>
      </c>
      <c r="B75" s="6" t="s">
        <v>184</v>
      </c>
      <c r="C75" s="8" t="s">
        <v>234</v>
      </c>
      <c r="D75" s="36" t="s">
        <v>235</v>
      </c>
      <c r="E75" s="34" t="s">
        <v>236</v>
      </c>
      <c r="F75" s="33" t="s">
        <v>45</v>
      </c>
      <c r="G75" s="10"/>
      <c r="H75" s="12" t="s">
        <v>19</v>
      </c>
      <c r="I75" s="14">
        <v>0</v>
      </c>
      <c r="J75" s="16"/>
      <c r="K75" s="2"/>
      <c r="L75" s="2"/>
    </row>
    <row r="76" spans="1:12" ht="36" customHeight="1">
      <c r="A76" s="4">
        <v>72</v>
      </c>
      <c r="B76" s="6" t="s">
        <v>184</v>
      </c>
      <c r="C76" s="8" t="s">
        <v>237</v>
      </c>
      <c r="D76" s="36" t="s">
        <v>238</v>
      </c>
      <c r="E76" s="34" t="s">
        <v>239</v>
      </c>
      <c r="F76" s="33" t="s">
        <v>188</v>
      </c>
      <c r="G76" s="10"/>
      <c r="H76" s="12" t="s">
        <v>19</v>
      </c>
      <c r="I76" s="14">
        <v>0</v>
      </c>
      <c r="J76" s="16"/>
      <c r="K76" s="2"/>
      <c r="L76" s="2"/>
    </row>
    <row r="77" spans="1:12" ht="144" customHeight="1">
      <c r="A77" s="4">
        <v>73</v>
      </c>
      <c r="B77" s="6" t="s">
        <v>184</v>
      </c>
      <c r="C77" s="8" t="s">
        <v>240</v>
      </c>
      <c r="D77" s="36" t="s">
        <v>241</v>
      </c>
      <c r="E77" s="34" t="s">
        <v>242</v>
      </c>
      <c r="F77" s="33" t="s">
        <v>188</v>
      </c>
      <c r="G77" s="10"/>
      <c r="H77" s="12" t="s">
        <v>19</v>
      </c>
      <c r="I77" s="14">
        <v>0</v>
      </c>
      <c r="J77" s="16"/>
      <c r="K77" s="2"/>
      <c r="L77" s="2"/>
    </row>
    <row r="78" spans="1:12" ht="84" customHeight="1">
      <c r="A78" s="4">
        <v>74</v>
      </c>
      <c r="B78" s="6" t="s">
        <v>184</v>
      </c>
      <c r="C78" s="8" t="s">
        <v>243</v>
      </c>
      <c r="D78" s="36" t="s">
        <v>244</v>
      </c>
      <c r="E78" s="34" t="s">
        <v>245</v>
      </c>
      <c r="F78" s="33" t="s">
        <v>45</v>
      </c>
      <c r="G78" s="10"/>
      <c r="H78" s="12" t="s">
        <v>19</v>
      </c>
      <c r="I78" s="14">
        <v>0</v>
      </c>
      <c r="J78" s="16"/>
      <c r="K78" s="2"/>
      <c r="L78" s="2"/>
    </row>
    <row r="79" spans="1:12" ht="48" customHeight="1">
      <c r="A79" s="4">
        <v>75</v>
      </c>
      <c r="B79" s="6" t="s">
        <v>184</v>
      </c>
      <c r="C79" s="8" t="s">
        <v>246</v>
      </c>
      <c r="D79" s="36" t="s">
        <v>247</v>
      </c>
      <c r="E79" s="34" t="s">
        <v>248</v>
      </c>
      <c r="F79" s="33" t="s">
        <v>188</v>
      </c>
      <c r="G79" s="10"/>
      <c r="H79" s="12" t="s">
        <v>19</v>
      </c>
      <c r="I79" s="14">
        <v>0</v>
      </c>
      <c r="J79" s="16"/>
      <c r="K79" s="2"/>
      <c r="L79" s="2"/>
    </row>
    <row r="80" spans="1:12" ht="24" customHeight="1">
      <c r="A80" s="4">
        <v>76</v>
      </c>
      <c r="B80" s="6" t="s">
        <v>249</v>
      </c>
      <c r="C80" s="8" t="s">
        <v>250</v>
      </c>
      <c r="D80" s="36" t="s">
        <v>251</v>
      </c>
      <c r="E80" s="34" t="s">
        <v>252</v>
      </c>
      <c r="F80" s="33" t="s">
        <v>32</v>
      </c>
      <c r="G80" s="10"/>
      <c r="H80" s="12" t="s">
        <v>19</v>
      </c>
      <c r="I80" s="14">
        <v>0</v>
      </c>
      <c r="J80" s="16"/>
      <c r="K80" s="2"/>
      <c r="L80" s="2"/>
    </row>
    <row r="81" spans="1:12" ht="168" customHeight="1">
      <c r="A81" s="4">
        <v>77</v>
      </c>
      <c r="B81" s="6" t="s">
        <v>249</v>
      </c>
      <c r="C81" s="8" t="s">
        <v>253</v>
      </c>
      <c r="D81" s="36" t="s">
        <v>254</v>
      </c>
      <c r="E81" s="34" t="s">
        <v>255</v>
      </c>
      <c r="F81" s="33" t="s">
        <v>287</v>
      </c>
      <c r="G81" s="10"/>
      <c r="H81" s="12" t="s">
        <v>19</v>
      </c>
      <c r="I81" s="14">
        <v>0</v>
      </c>
      <c r="J81" s="16"/>
      <c r="K81" s="2"/>
      <c r="L81" s="2"/>
    </row>
    <row r="82" spans="1:12" ht="120" customHeight="1">
      <c r="A82" s="4">
        <v>78</v>
      </c>
      <c r="B82" s="6" t="s">
        <v>249</v>
      </c>
      <c r="C82" s="8" t="s">
        <v>256</v>
      </c>
      <c r="D82" s="36" t="s">
        <v>257</v>
      </c>
      <c r="E82" s="34" t="s">
        <v>258</v>
      </c>
      <c r="F82" s="33" t="s">
        <v>45</v>
      </c>
      <c r="G82" s="10"/>
      <c r="H82" s="12" t="s">
        <v>19</v>
      </c>
      <c r="I82" s="14">
        <v>0</v>
      </c>
      <c r="J82" s="16"/>
      <c r="K82" s="2"/>
      <c r="L82" s="2"/>
    </row>
    <row r="83" spans="1:12" ht="48" customHeight="1">
      <c r="A83" s="4">
        <v>79</v>
      </c>
      <c r="B83" s="6" t="s">
        <v>249</v>
      </c>
      <c r="C83" s="8" t="s">
        <v>259</v>
      </c>
      <c r="D83" s="36" t="s">
        <v>260</v>
      </c>
      <c r="E83" s="34" t="s">
        <v>261</v>
      </c>
      <c r="F83" s="33" t="s">
        <v>287</v>
      </c>
      <c r="G83" s="10"/>
      <c r="H83" s="12" t="s">
        <v>19</v>
      </c>
      <c r="I83" s="14">
        <v>0</v>
      </c>
      <c r="J83" s="16"/>
      <c r="K83" s="2"/>
      <c r="L83" s="2"/>
    </row>
    <row r="84" spans="1:12" ht="60" customHeight="1">
      <c r="A84" s="4">
        <v>80</v>
      </c>
      <c r="B84" s="6" t="s">
        <v>249</v>
      </c>
      <c r="C84" s="8" t="s">
        <v>262</v>
      </c>
      <c r="D84" s="36" t="s">
        <v>263</v>
      </c>
      <c r="E84" s="34" t="s">
        <v>264</v>
      </c>
      <c r="F84" s="33" t="s">
        <v>287</v>
      </c>
      <c r="G84" s="10"/>
      <c r="H84" s="12" t="s">
        <v>19</v>
      </c>
      <c r="I84" s="14">
        <v>0</v>
      </c>
      <c r="J84" s="16"/>
      <c r="K84" s="2"/>
      <c r="L84" s="2"/>
    </row>
    <row r="85" spans="1:12" ht="48" customHeight="1">
      <c r="A85" s="4">
        <v>81</v>
      </c>
      <c r="B85" s="6" t="s">
        <v>249</v>
      </c>
      <c r="C85" s="8" t="s">
        <v>265</v>
      </c>
      <c r="D85" s="36" t="s">
        <v>266</v>
      </c>
      <c r="E85" s="34" t="s">
        <v>267</v>
      </c>
      <c r="F85" s="33" t="s">
        <v>45</v>
      </c>
      <c r="G85" s="10"/>
      <c r="H85" s="12" t="s">
        <v>19</v>
      </c>
      <c r="I85" s="14">
        <v>0</v>
      </c>
      <c r="J85" s="16"/>
      <c r="K85" s="2"/>
      <c r="L85" s="2"/>
    </row>
    <row r="86" spans="1:12" ht="168" customHeight="1">
      <c r="A86" s="4">
        <v>82</v>
      </c>
      <c r="B86" s="6" t="s">
        <v>249</v>
      </c>
      <c r="C86" s="8" t="s">
        <v>268</v>
      </c>
      <c r="D86" s="36" t="s">
        <v>269</v>
      </c>
      <c r="E86" s="34" t="s">
        <v>270</v>
      </c>
      <c r="F86" s="33" t="s">
        <v>18</v>
      </c>
      <c r="G86" s="10"/>
      <c r="H86" s="12" t="s">
        <v>19</v>
      </c>
      <c r="I86" s="14">
        <v>0</v>
      </c>
      <c r="J86" s="16"/>
      <c r="K86" s="2"/>
      <c r="L86" s="2"/>
    </row>
    <row r="87" spans="1:12" ht="84" customHeight="1">
      <c r="A87" s="5">
        <v>83</v>
      </c>
      <c r="B87" s="7" t="s">
        <v>249</v>
      </c>
      <c r="C87" s="9" t="s">
        <v>271</v>
      </c>
      <c r="D87" s="37" t="s">
        <v>272</v>
      </c>
      <c r="E87" s="35" t="s">
        <v>273</v>
      </c>
      <c r="F87" s="33" t="s">
        <v>287</v>
      </c>
      <c r="G87" s="11"/>
      <c r="H87" s="13" t="s">
        <v>19</v>
      </c>
      <c r="I87" s="15">
        <v>0</v>
      </c>
      <c r="J87" s="17"/>
      <c r="K87" s="3"/>
      <c r="L87" s="3"/>
    </row>
  </sheetData>
  <mergeCells count="2">
    <mergeCell ref="A1:L1"/>
    <mergeCell ref="A2:L2"/>
  </mergeCells>
  <conditionalFormatting sqref="H5:H87">
    <cfRule type="containsText" dxfId="6" priority="1" operator="containsText" text="Completo"/>
    <cfRule type="containsText" dxfId="5" priority="2" operator="containsText" text="En curso"/>
    <cfRule type="containsText" dxfId="4" priority="3" operator="containsText" text="Bloqueado"/>
    <cfRule type="containsText" dxfId="3" priority="4" operator="containsText" text="No aplica"/>
  </conditionalFormatting>
  <conditionalFormatting sqref="I5:I87">
    <cfRule type="dataBar" priority="5">
      <dataBar>
        <cfvo type="num" val="0"/>
        <cfvo type="num" val="1"/>
        <color rgb="FF5B9BD5"/>
      </dataBar>
    </cfRule>
    <cfRule type="dataBar" priority="6">
      <dataBar>
        <cfvo type="num" val="0"/>
        <cfvo type="num" val="1"/>
        <color rgb="FF5B9BD5"/>
      </dataBar>
      <extLst>
        <ext xmlns:x14="http://schemas.microsoft.com/office/spreadsheetml/2009/9/main" uri="{B025F937-C7B1-47D3-B67F-A62EFF666E3E}">
          <x14:id>{4368A184-4679-2807-3C22-61BEC6C8D71B}</x14:id>
        </ext>
      </extLst>
    </cfRule>
  </conditionalFormatting>
  <dataValidations count="2">
    <dataValidation type="list" sqref="H5:H87" xr:uid="{00000000-0002-0000-0000-000000000000}">
      <formula1>"Pendiente,En curso,Bloqueado,Completo,No aplica"</formula1>
    </dataValidation>
    <dataValidation type="decimal" sqref="I5:I87" xr:uid="{00000000-0002-0000-0000-000001000000}">
      <formula1>0</formula1>
      <formula2>1</formula2>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368A184-4679-2807-3C22-61BEC6C8D71B}">
            <x14:dataBar>
              <x14:cfvo type="num">
                <xm:f>0</xm:f>
              </x14:cfvo>
              <x14:cfvo type="num">
                <xm:f>1</xm:f>
              </x14:cfvo>
              <x14:negativeFillColor auto="1"/>
              <x14:axisColor auto="1"/>
            </x14:dataBar>
          </x14:cfRule>
          <xm:sqref>I5:I87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showGridLines="0" zoomScale="222" workbookViewId="0">
      <selection activeCell="D22" sqref="D22"/>
    </sheetView>
  </sheetViews>
  <sheetFormatPr baseColWidth="10" defaultColWidth="8.83203125" defaultRowHeight="14"/>
  <cols>
    <col min="1" max="1" width="38" customWidth="1"/>
    <col min="2" max="2" width="16" customWidth="1"/>
    <col min="3" max="3" width="18" customWidth="1"/>
    <col min="4" max="4" width="15" customWidth="1"/>
  </cols>
  <sheetData>
    <row r="1" spans="1:5" ht="32" customHeight="1">
      <c r="A1" s="31" t="s">
        <v>274</v>
      </c>
      <c r="B1" s="31"/>
      <c r="C1" s="31"/>
      <c r="D1" s="31"/>
      <c r="E1" s="31"/>
    </row>
    <row r="3" spans="1:5" ht="15">
      <c r="A3" s="18" t="s">
        <v>275</v>
      </c>
      <c r="B3" s="18" t="s">
        <v>276</v>
      </c>
    </row>
    <row r="4" spans="1:5" ht="18">
      <c r="A4" s="19" t="s">
        <v>277</v>
      </c>
      <c r="B4" s="21">
        <f>COUNTA('Plan de auditoría'!$A$5:$A$87)</f>
        <v>83</v>
      </c>
    </row>
    <row r="5" spans="1:5" ht="18">
      <c r="A5" s="19" t="s">
        <v>278</v>
      </c>
      <c r="B5" s="21">
        <v>10</v>
      </c>
    </row>
    <row r="6" spans="1:5" ht="18">
      <c r="A6" s="19" t="s">
        <v>279</v>
      </c>
      <c r="B6" s="21">
        <f>COUNTIF('Plan de auditoría'!$H$5:$H$87,"Completo")</f>
        <v>0</v>
      </c>
    </row>
    <row r="7" spans="1:5" ht="18">
      <c r="A7" s="19" t="s">
        <v>280</v>
      </c>
      <c r="B7" s="21">
        <f>COUNTIF('Plan de auditoría'!$H$5:$H$87,"En curso")</f>
        <v>0</v>
      </c>
    </row>
    <row r="8" spans="1:5" ht="18">
      <c r="A8" s="19" t="s">
        <v>281</v>
      </c>
      <c r="B8" s="21">
        <f>COUNTIF('Plan de auditoría'!$H$5:$H$87,"Bloqueado")</f>
        <v>0</v>
      </c>
    </row>
    <row r="9" spans="1:5" ht="18">
      <c r="A9" s="20" t="s">
        <v>282</v>
      </c>
      <c r="B9" s="22">
        <f>AVERAGE('Plan de auditoría'!$I$5:$I$87)</f>
        <v>0</v>
      </c>
    </row>
    <row r="12" spans="1:5" ht="16">
      <c r="A12" s="23" t="s">
        <v>7</v>
      </c>
      <c r="B12" s="23" t="s">
        <v>283</v>
      </c>
      <c r="C12" s="23" t="s">
        <v>284</v>
      </c>
      <c r="D12" s="23" t="s">
        <v>279</v>
      </c>
    </row>
    <row r="13" spans="1:5" ht="15">
      <c r="A13" s="24" t="s">
        <v>32</v>
      </c>
      <c r="B13" s="26">
        <f>COUNTIF('Plan de auditoría'!$F$5:$F$87,A13)</f>
        <v>27</v>
      </c>
      <c r="C13" s="27">
        <f>IFERROR(AVERAGEIF('Plan de auditoría'!$F$5:$F$87,A13,'Plan de auditoría'!$I$5:$I$87),0)</f>
        <v>0</v>
      </c>
      <c r="D13" s="26">
        <f>COUNTIFS('Plan de auditoría'!$F$5:$F$87,A13,'Plan de auditoría'!$H$5:$H$87,"Completo")</f>
        <v>0</v>
      </c>
    </row>
    <row r="14" spans="1:5" ht="15">
      <c r="A14" s="24" t="s">
        <v>288</v>
      </c>
      <c r="B14" s="26">
        <f>COUNTIF('Plan de auditoría'!$F$5:$F$87,A14)</f>
        <v>16</v>
      </c>
      <c r="C14" s="27">
        <f>IFERROR(AVERAGEIF('Plan de auditoría'!$F$5:$F$87,A14,'Plan de auditoría'!$I$5:$I$87),0)</f>
        <v>0</v>
      </c>
      <c r="D14" s="26">
        <f>COUNTIFS('Plan de auditoría'!$F$5:$F$87,A14,'Plan de auditoría'!$H$5:$H$87,"Completo")</f>
        <v>0</v>
      </c>
    </row>
    <row r="15" spans="1:5" ht="15">
      <c r="A15" s="24" t="s">
        <v>45</v>
      </c>
      <c r="B15" s="26">
        <f>COUNTIF('Plan de auditoría'!$F$5:$F$87,A15)</f>
        <v>11</v>
      </c>
      <c r="C15" s="27">
        <f>IFERROR(AVERAGEIF('Plan de auditoría'!$F$5:$F$87,A15,'Plan de auditoría'!$I$5:$I$87),0)</f>
        <v>0</v>
      </c>
      <c r="D15" s="26">
        <f>COUNTIFS('Plan de auditoría'!$F$5:$F$87,A15,'Plan de auditoría'!$H$5:$H$87,"Completo")</f>
        <v>0</v>
      </c>
    </row>
    <row r="16" spans="1:5" ht="15">
      <c r="A16" s="24" t="s">
        <v>287</v>
      </c>
      <c r="B16" s="26">
        <f>COUNTIF('Plan de auditoría'!$F$5:$F$87,A16)</f>
        <v>10</v>
      </c>
      <c r="C16" s="27">
        <f>IFERROR(AVERAGEIF('Plan de auditoría'!$F$5:$F$87,A16,'Plan de auditoría'!$I$5:$I$87),0)</f>
        <v>0</v>
      </c>
      <c r="D16" s="26">
        <f>COUNTIFS('Plan de auditoría'!$F$5:$F$87,A16,'Plan de auditoría'!$H$5:$H$87,"Completo")</f>
        <v>0</v>
      </c>
    </row>
    <row r="17" spans="1:4" ht="15">
      <c r="A17" s="24" t="s">
        <v>188</v>
      </c>
      <c r="B17" s="26">
        <f>COUNTIF('Plan de auditoría'!$F$5:$F$87,A17)</f>
        <v>10</v>
      </c>
      <c r="C17" s="27">
        <f>IFERROR(AVERAGEIF('Plan de auditoría'!$F$5:$F$87,A17,'Plan de auditoría'!$I$5:$I$87),0)</f>
        <v>0</v>
      </c>
      <c r="D17" s="26">
        <f>COUNTIFS('Plan de auditoría'!$F$5:$F$87,A17,'Plan de auditoría'!$H$5:$H$87,"Completo")</f>
        <v>0</v>
      </c>
    </row>
    <row r="18" spans="1:4" ht="15">
      <c r="A18" s="24" t="s">
        <v>285</v>
      </c>
      <c r="B18" s="26">
        <f>COUNTIF('Plan de auditoría'!$F$5:$F$87,A18)</f>
        <v>4</v>
      </c>
      <c r="C18" s="27">
        <f>IFERROR(AVERAGEIF('Plan de auditoría'!$F$5:$F$87,A18,'Plan de auditoría'!$I$5:$I$87),0)</f>
        <v>0</v>
      </c>
      <c r="D18" s="26">
        <f>COUNTIFS('Plan de auditoría'!$F$5:$F$87,A18,'Plan de auditoría'!$H$5:$H$87,"Completo")</f>
        <v>0</v>
      </c>
    </row>
    <row r="19" spans="1:4" ht="15">
      <c r="A19" s="24" t="s">
        <v>286</v>
      </c>
      <c r="B19" s="26">
        <f>COUNTIF('Plan de auditoría'!$F$5:$F$87,A19)</f>
        <v>3</v>
      </c>
      <c r="C19" s="27">
        <f>IFERROR(AVERAGEIF('Plan de auditoría'!$F$5:$F$87,A19,'Plan de auditoría'!$I$5:$I$87),0)</f>
        <v>0</v>
      </c>
      <c r="D19" s="26">
        <f>COUNTIFS('Plan de auditoría'!$F$5:$F$87,A19,'Plan de auditoría'!$H$5:$H$87,"Completo")</f>
        <v>0</v>
      </c>
    </row>
    <row r="20" spans="1:4" ht="15">
      <c r="A20" s="24" t="s">
        <v>18</v>
      </c>
      <c r="B20" s="26">
        <f>COUNTIF('Plan de auditoría'!$F$5:$F$87,A20)</f>
        <v>2</v>
      </c>
      <c r="C20" s="27">
        <f>IFERROR(AVERAGEIF('Plan de auditoría'!$F$5:$F$87,A20,'Plan de auditoría'!$I$5:$I$87),0)</f>
        <v>0</v>
      </c>
      <c r="D20" s="26">
        <f>COUNTIFS('Plan de auditoría'!$F$5:$F$87,A20,'Plan de auditoría'!$H$5:$H$87,"Completo")</f>
        <v>0</v>
      </c>
    </row>
    <row r="21" spans="1:4" ht="15">
      <c r="A21" s="25"/>
      <c r="B21" s="26"/>
      <c r="C21" s="27"/>
      <c r="D21" s="26"/>
    </row>
    <row r="22" spans="1:4" ht="15">
      <c r="A22" s="25"/>
      <c r="B22" s="28"/>
      <c r="C22" s="29"/>
      <c r="D22" s="28"/>
    </row>
  </sheetData>
  <mergeCells count="1">
    <mergeCell ref="A1:E1"/>
  </mergeCells>
  <conditionalFormatting sqref="C13:C22">
    <cfRule type="dataBar" priority="1">
      <dataBar>
        <cfvo type="num" val="0"/>
        <cfvo type="num" val="1"/>
        <color rgb="FF70AD47"/>
      </dataBar>
    </cfRule>
    <cfRule type="dataBar" priority="2">
      <dataBar>
        <cfvo type="num" val="0"/>
        <cfvo type="num" val="1"/>
        <color rgb="FF70AD47"/>
      </dataBar>
      <extLst>
        <ext xmlns:x14="http://schemas.microsoft.com/office/spreadsheetml/2009/9/main" uri="{B025F937-C7B1-47D3-B67F-A62EFF666E3E}">
          <x14:id>{DA12C461-A72D-FADC-ED1B-42B2A151D9C7}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12C461-A72D-FADC-ED1B-42B2A151D9C7}">
            <x14:dataBar>
              <x14:cfvo type="num">
                <xm:f>0</xm:f>
              </x14:cfvo>
              <x14:cfvo type="num">
                <xm:f>1</xm:f>
              </x14:cfvo>
              <x14:negativeFillColor auto="1"/>
              <x14:axisColor auto="1"/>
            </x14:dataBar>
          </x14:cfRule>
          <xm:sqref>C13:C22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Plan de auditoría</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Castillo celular</cp:lastModifiedBy>
  <dcterms:modified xsi:type="dcterms:W3CDTF">2026-08-19T16:52:27Z</dcterms:modified>
</cp:coreProperties>
</file>