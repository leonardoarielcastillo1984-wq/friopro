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PERC" state="visible" r:id="rId4"/>
    <sheet sheetId="2" name="Guía" state="visible" r:id="rId5"/>
  </sheets>
  <calcPr calcId="171027"/>
</workbook>
</file>

<file path=xl/sharedStrings.xml><?xml version="1.0" encoding="utf-8"?>
<sst xmlns="http://schemas.openxmlformats.org/spreadsheetml/2006/main" count="64" uniqueCount="58">
  <si>
    <t>MATRIZ IPERC — Identificación de Peligros, Evaluación de Riesgos y Controles</t>
  </si>
  <si>
    <t>Empresa:</t>
  </si>
  <si>
    <t>Área / Proceso:</t>
  </si>
  <si>
    <t>Fecha:</t>
  </si>
  <si>
    <t>Responsable:</t>
  </si>
  <si>
    <t>N°</t>
  </si>
  <si>
    <t>Proceso / Tarea</t>
  </si>
  <si>
    <t>Peligro identificado</t>
  </si>
  <si>
    <t>Tipo de peligro</t>
  </si>
  <si>
    <t>Personas expuestas</t>
  </si>
  <si>
    <t>Probabilidad (1-5)</t>
  </si>
  <si>
    <t>Impacto / Severidad (1-5)</t>
  </si>
  <si>
    <t>Nivel de riesgo (P×I)</t>
  </si>
  <si>
    <t>Evaluación del riesgo</t>
  </si>
  <si>
    <t>Controles existentes</t>
  </si>
  <si>
    <t>¿Suficiente? (S/N)</t>
  </si>
  <si>
    <t>Plan de acción</t>
  </si>
  <si>
    <t>Responsable</t>
  </si>
  <si>
    <t>Fecha límite</t>
  </si>
  <si>
    <t>Prob. post</t>
  </si>
  <si>
    <t>Imp. post</t>
  </si>
  <si>
    <t>Nivel residual</t>
  </si>
  <si>
    <t>Carga y descarga de mercadería</t>
  </si>
  <si>
    <t>Golpe por autoelevador</t>
  </si>
  <si>
    <t>Mecánico</t>
  </si>
  <si>
    <t>Operarios de depósito</t>
  </si>
  <si>
    <t>ALTO</t>
  </si>
  <si>
    <t>Delimitación de zonas peatonales, chaleco reflectivo</t>
  </si>
  <si>
    <t>N</t>
  </si>
  <si>
    <t>Instalar barreras físicas y semáforo de cruce</t>
  </si>
  <si>
    <t>Resp. SSOMA</t>
  </si>
  <si>
    <t/>
  </si>
  <si>
    <t>Mantenimiento eléctrico</t>
  </si>
  <si>
    <t>Contacto con partes energizadas</t>
  </si>
  <si>
    <t>Eléctrico</t>
  </si>
  <si>
    <t>Técnicos de mantenimiento</t>
  </si>
  <si>
    <t>Bloqueo y etiquetado (LOTO), guantes dieléctricos</t>
  </si>
  <si>
    <t>S</t>
  </si>
  <si>
    <t>Resp. Mantenimiento</t>
  </si>
  <si>
    <t>Trabajo administrativo en oficina</t>
  </si>
  <si>
    <t>Trastorno musculoesquelético</t>
  </si>
  <si>
    <t>Ergonómico</t>
  </si>
  <si>
    <t>Personal administrativo</t>
  </si>
  <si>
    <t>MODERADO</t>
  </si>
  <si>
    <t>Pausas activas cada 2 horas</t>
  </si>
  <si>
    <t>Evaluación ergonómica de puestos de trabajo</t>
  </si>
  <si>
    <t>Resp. RRHH</t>
  </si>
  <si>
    <t>Escala: 1-4 BAJO (aceptable) · 5-9 MODERADO (controlar) · 10-14 ALTO (acción requerida) · 15-25 CRÍTICO (acción inmediata)</t>
  </si>
  <si>
    <t>Las filas 5-7 son ejemplos — borralas y cargá tu matriz. El nivel de riesgo y la evaluación se calculan automáticamente.</t>
  </si>
  <si>
    <t>CÓMO USAR LA MATRIZ IPERC</t>
  </si>
  <si>
    <t>1. Listá los procesos o tareas del área a evaluar (columna B).</t>
  </si>
  <si>
    <t>2. Para cada tarea identificá los peligros (mecánico, eléctrico, ergonómico, químico, biológico, físico, psicosocial).</t>
  </si>
  <si>
    <t>3. Evaluá probabilidad (1 = raro … 5 = casi seguro) e impacto (1 = leve … 5 = catastrófico).</t>
  </si>
  <si>
    <t>4. El nivel de riesgo (P×I) y la evaluación se calculan automáticamente.</t>
  </si>
  <si>
    <t>5. Priorizá acciones en riesgos ALTOS y CRÍTICOS; documentá controles existentes.</t>
  </si>
  <si>
    <t>6. Si el control no es suficiente, definí plan de acción con responsable y fecha límite.</t>
  </si>
  <si>
    <t>7. Re-evaluá después de implementar el control (columnas post-control) — esa es la evidencia de eficacia para el auditor.</t>
  </si>
  <si>
    <t>TIP: en SGI360 esta matriz vive dentro del sistema con responsables, alertas de vencimiento y trazabilidad completa → logismart.ar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</si>
</sst>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  <color rgb="FF475569"/>
      <sz val="10"/>
    </font>
    <font>
      <b/>
      <color rgb="FFFFFFFF"/>
      <sz val="10"/>
    </font>
    <font>
      <sz val="10"/>
    </font>
    <font>
      <b/>
      <sz val="10"/>
    </font>
    <font>
      <i/>
      <color rgb="FF94A3B8"/>
      <sz val="9"/>
    </font>
    <font>
      <b/>
      <color rgb="FFFFFFFF"/>
      <sz val="13"/>
    </font>
    <font>
      <sz val="11"/>
    </font>
    <font>
      <b/>
      <color rgb="FF166534"/>
      <sz val="11"/>
    </font>
  </fonts>
  <fills count="7">
    <fill>
      <patternFill patternType="none"/>
    </fill>
    <fill>
      <patternFill patternType="gray125"/>
    </fill>
    <fill>
      <patternFill patternType="solid">
        <fgColor rgb="FF166534"/>
      </patternFill>
    </fill>
    <fill>
      <patternFill patternType="solid">
        <fgColor rgb="FFFDBA74"/>
      </patternFill>
    </fill>
    <fill>
      <patternFill patternType="solid">
        <fgColor rgb="FF86EFAC"/>
      </patternFill>
    </fill>
    <fill>
      <patternFill patternType="solid">
        <fgColor rgb="FFF8FAFC"/>
      </patternFill>
    </fill>
    <fill>
      <patternFill patternType="solid">
        <fgColor rgb="FFFDE04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66534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0" fillId="0" borderId="1" xfId="0" applyBorder="1"/>
    <xf numFmtId="0" fontId="2" fillId="0" borderId="1" xfId="0" applyFont="1" applyBorder="1"/>
    <xf numFmtId="0" fontId="3" fillId="2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5" fillId="4" borderId="2" xfId="0" applyFont="1" applyFill="1" applyBorder="1" applyAlignment="1">
      <alignment vertical="center" wrapText="1"/>
    </xf>
    <xf numFmtId="0" fontId="4" fillId="5" borderId="2" xfId="0" applyFont="1" applyFill="1" applyBorder="1" applyAlignment="1">
      <alignment vertical="center" wrapText="1"/>
    </xf>
    <xf numFmtId="0" fontId="5" fillId="6" borderId="2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8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6" customWidth="1"/>
    <col min="3" max="3" width="24" customWidth="1"/>
    <col min="4" max="4" width="14" customWidth="1"/>
    <col min="5" max="5" width="18" customWidth="1"/>
    <col min="6" max="6" width="11" customWidth="1"/>
    <col min="7" max="7" width="12" customWidth="1"/>
    <col min="8" max="8" width="11" customWidth="1"/>
    <col min="9" max="9" width="14" customWidth="1"/>
    <col min="10" max="10" width="30" customWidth="1"/>
    <col min="11" max="11" width="11" customWidth="1"/>
    <col min="12" max="12" width="26" customWidth="1"/>
    <col min="13" max="13" width="14" customWidth="1"/>
    <col min="14" max="14" width="12" customWidth="1"/>
    <col min="15" max="16" width="8" customWidth="1"/>
    <col min="17" max="17" width="11" customWidth="1"/>
  </cols>
  <sheetData>
    <row r="1" ht="30" customHeight="1" spans="1:17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22" customHeight="1" spans="1:16" x14ac:dyDescent="0.25">
      <c r="A2" s="2" t="s">
        <v>1</v>
      </c>
      <c r="B2" s="3"/>
      <c r="C2" s="3"/>
      <c r="D2" s="3"/>
      <c r="E2" s="2" t="s">
        <v>2</v>
      </c>
      <c r="F2" s="3"/>
      <c r="G2" s="3"/>
      <c r="H2" s="3"/>
      <c r="I2" s="4" t="s">
        <v>3</v>
      </c>
      <c r="J2" s="3"/>
      <c r="K2" s="3"/>
      <c r="L2" s="4" t="s">
        <v>4</v>
      </c>
      <c r="M2" s="3"/>
      <c r="N2" s="3"/>
      <c r="O2" s="3"/>
      <c r="P2" s="3"/>
    </row>
    <row r="3" ht="6" customHeight="1" x14ac:dyDescent="0.25"/>
    <row r="4" ht="34" customHeight="1" spans="1:17" x14ac:dyDescent="0.25">
      <c r="A4" s="5" t="s">
        <v>5</v>
      </c>
      <c r="B4" s="5" t="s">
        <v>6</v>
      </c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5" t="s">
        <v>12</v>
      </c>
      <c r="I4" s="5" t="s">
        <v>13</v>
      </c>
      <c r="J4" s="5" t="s">
        <v>14</v>
      </c>
      <c r="K4" s="5" t="s">
        <v>15</v>
      </c>
      <c r="L4" s="5" t="s">
        <v>16</v>
      </c>
      <c r="M4" s="5" t="s">
        <v>17</v>
      </c>
      <c r="N4" s="5" t="s">
        <v>18</v>
      </c>
      <c r="O4" s="5" t="s">
        <v>19</v>
      </c>
      <c r="P4" s="5" t="s">
        <v>20</v>
      </c>
      <c r="Q4" s="5" t="s">
        <v>21</v>
      </c>
    </row>
    <row r="5" ht="28" customHeight="1" spans="1:17" x14ac:dyDescent="0.25">
      <c r="A5" s="6">
        <v>1</v>
      </c>
      <c r="B5" s="6" t="s">
        <v>22</v>
      </c>
      <c r="C5" s="6" t="s">
        <v>23</v>
      </c>
      <c r="D5" s="6" t="s">
        <v>24</v>
      </c>
      <c r="E5" s="6" t="s">
        <v>25</v>
      </c>
      <c r="F5" s="6">
        <v>3</v>
      </c>
      <c r="G5" s="6">
        <v>4</v>
      </c>
      <c r="H5" s="7">
        <f>F5*G5</f>
        <v>12</v>
      </c>
      <c r="I5" s="7" t="s">
        <v>26</v>
      </c>
      <c r="J5" s="6" t="s">
        <v>27</v>
      </c>
      <c r="K5" s="6" t="s">
        <v>28</v>
      </c>
      <c r="L5" s="6" t="s">
        <v>29</v>
      </c>
      <c r="M5" s="6" t="s">
        <v>30</v>
      </c>
      <c r="N5" s="6" t="s">
        <v>31</v>
      </c>
      <c r="O5" s="6">
        <v>1</v>
      </c>
      <c r="P5" s="6">
        <v>4</v>
      </c>
      <c r="Q5" s="8">
        <f>O5*P5</f>
        <v>4</v>
      </c>
    </row>
    <row r="6" ht="28" customHeight="1" spans="1:17" x14ac:dyDescent="0.25">
      <c r="A6" s="9">
        <v>2</v>
      </c>
      <c r="B6" s="9" t="s">
        <v>32</v>
      </c>
      <c r="C6" s="9" t="s">
        <v>33</v>
      </c>
      <c r="D6" s="9" t="s">
        <v>34</v>
      </c>
      <c r="E6" s="9" t="s">
        <v>35</v>
      </c>
      <c r="F6" s="9">
        <v>2</v>
      </c>
      <c r="G6" s="9">
        <v>5</v>
      </c>
      <c r="H6" s="7">
        <f>F6*G6</f>
        <v>10</v>
      </c>
      <c r="I6" s="7" t="s">
        <v>26</v>
      </c>
      <c r="J6" s="9" t="s">
        <v>36</v>
      </c>
      <c r="K6" s="9" t="s">
        <v>37</v>
      </c>
      <c r="L6" s="9" t="s">
        <v>31</v>
      </c>
      <c r="M6" s="9" t="s">
        <v>38</v>
      </c>
      <c r="N6" s="9" t="s">
        <v>31</v>
      </c>
      <c r="O6" s="9">
        <v>1</v>
      </c>
      <c r="P6" s="9">
        <v>5</v>
      </c>
      <c r="Q6" s="10">
        <f>O6*P6</f>
        <v>5</v>
      </c>
    </row>
    <row r="7" ht="28" customHeight="1" spans="1:17" x14ac:dyDescent="0.25">
      <c r="A7" s="6">
        <v>3</v>
      </c>
      <c r="B7" s="6" t="s">
        <v>39</v>
      </c>
      <c r="C7" s="6" t="s">
        <v>40</v>
      </c>
      <c r="D7" s="6" t="s">
        <v>41</v>
      </c>
      <c r="E7" s="6" t="s">
        <v>42</v>
      </c>
      <c r="F7" s="6">
        <v>4</v>
      </c>
      <c r="G7" s="6">
        <v>2</v>
      </c>
      <c r="H7" s="10">
        <f>F7*G7</f>
        <v>8</v>
      </c>
      <c r="I7" s="10" t="s">
        <v>43</v>
      </c>
      <c r="J7" s="6" t="s">
        <v>44</v>
      </c>
      <c r="K7" s="6" t="s">
        <v>28</v>
      </c>
      <c r="L7" s="6" t="s">
        <v>45</v>
      </c>
      <c r="M7" s="6" t="s">
        <v>46</v>
      </c>
      <c r="N7" s="6" t="s">
        <v>31</v>
      </c>
      <c r="O7" s="6">
        <v>2</v>
      </c>
      <c r="P7" s="6">
        <v>2</v>
      </c>
      <c r="Q7" s="8">
        <f>O7*P7</f>
        <v>4</v>
      </c>
    </row>
    <row r="8" ht="22" customHeight="1" spans="1:17" x14ac:dyDescent="0.25">
      <c r="A8" s="6">
        <v>4</v>
      </c>
      <c r="B8" s="6"/>
      <c r="C8" s="6"/>
      <c r="D8" s="6"/>
      <c r="E8" s="6"/>
      <c r="F8" s="6"/>
      <c r="G8" s="6"/>
      <c r="H8" s="6">
        <f>IF(AND(F8&lt;&gt;"",G8&lt;&gt;""),F8*G8,"")</f>
      </c>
      <c r="I8" s="6">
        <f>IF(H8="","",IF(H8&gt;=15,"CRÍTICO",IF(H8&gt;=10,"ALTO",IF(H8&gt;=5,"MODERADO","BAJO"))))</f>
      </c>
      <c r="J8" s="6"/>
      <c r="K8" s="6"/>
      <c r="L8" s="6"/>
      <c r="M8" s="6"/>
      <c r="N8" s="6"/>
      <c r="O8" s="6"/>
      <c r="P8" s="6"/>
      <c r="Q8" s="6">
        <f>IF(AND(O8&lt;&gt;"",P8&lt;&gt;""),O8*P8,"")</f>
      </c>
    </row>
    <row r="9" ht="22" customHeight="1" spans="1:17" x14ac:dyDescent="0.25">
      <c r="A9" s="6">
        <v>5</v>
      </c>
      <c r="B9" s="6"/>
      <c r="C9" s="6"/>
      <c r="D9" s="6"/>
      <c r="E9" s="6"/>
      <c r="F9" s="6"/>
      <c r="G9" s="6"/>
      <c r="H9" s="6">
        <f>IF(AND(F9&lt;&gt;"",G9&lt;&gt;""),F9*G9,"")</f>
      </c>
      <c r="I9" s="6">
        <f>IF(H9="","",IF(H9&gt;=15,"CRÍTICO",IF(H9&gt;=10,"ALTO",IF(H9&gt;=5,"MODERADO","BAJO"))))</f>
      </c>
      <c r="J9" s="6"/>
      <c r="K9" s="6"/>
      <c r="L9" s="6"/>
      <c r="M9" s="6"/>
      <c r="N9" s="6"/>
      <c r="O9" s="6"/>
      <c r="P9" s="6"/>
      <c r="Q9" s="6">
        <f>IF(AND(O9&lt;&gt;"",P9&lt;&gt;""),O9*P9,"")</f>
      </c>
    </row>
    <row r="10" ht="22" customHeight="1" spans="1:17" x14ac:dyDescent="0.25">
      <c r="A10" s="6">
        <v>6</v>
      </c>
      <c r="B10" s="6"/>
      <c r="C10" s="6"/>
      <c r="D10" s="6"/>
      <c r="E10" s="6"/>
      <c r="F10" s="6"/>
      <c r="G10" s="6"/>
      <c r="H10" s="6">
        <f>IF(AND(F10&lt;&gt;"",G10&lt;&gt;""),F10*G10,"")</f>
      </c>
      <c r="I10" s="6">
        <f>IF(H10="","",IF(H10&gt;=15,"CRÍTICO",IF(H10&gt;=10,"ALTO",IF(H10&gt;=5,"MODERADO","BAJO"))))</f>
      </c>
      <c r="J10" s="6"/>
      <c r="K10" s="6"/>
      <c r="L10" s="6"/>
      <c r="M10" s="6"/>
      <c r="N10" s="6"/>
      <c r="O10" s="6"/>
      <c r="P10" s="6"/>
      <c r="Q10" s="6">
        <f>IF(AND(O10&lt;&gt;"",P10&lt;&gt;""),O10*P10,"")</f>
      </c>
    </row>
    <row r="11" ht="22" customHeight="1" spans="1:17" x14ac:dyDescent="0.25">
      <c r="A11" s="6">
        <v>7</v>
      </c>
      <c r="B11" s="6"/>
      <c r="C11" s="6"/>
      <c r="D11" s="6"/>
      <c r="E11" s="6"/>
      <c r="F11" s="6"/>
      <c r="G11" s="6"/>
      <c r="H11" s="6">
        <f>IF(AND(F11&lt;&gt;"",G11&lt;&gt;""),F11*G11,"")</f>
      </c>
      <c r="I11" s="6">
        <f>IF(H11="","",IF(H11&gt;=15,"CRÍTICO",IF(H11&gt;=10,"ALTO",IF(H11&gt;=5,"MODERADO","BAJO"))))</f>
      </c>
      <c r="J11" s="6"/>
      <c r="K11" s="6"/>
      <c r="L11" s="6"/>
      <c r="M11" s="6"/>
      <c r="N11" s="6"/>
      <c r="O11" s="6"/>
      <c r="P11" s="6"/>
      <c r="Q11" s="6">
        <f>IF(AND(O11&lt;&gt;"",P11&lt;&gt;""),O11*P11,"")</f>
      </c>
    </row>
    <row r="12" ht="22" customHeight="1" spans="1:17" x14ac:dyDescent="0.25">
      <c r="A12" s="6">
        <v>8</v>
      </c>
      <c r="B12" s="6"/>
      <c r="C12" s="6"/>
      <c r="D12" s="6"/>
      <c r="E12" s="6"/>
      <c r="F12" s="6"/>
      <c r="G12" s="6"/>
      <c r="H12" s="6">
        <f>IF(AND(F12&lt;&gt;"",G12&lt;&gt;""),F12*G12,"")</f>
      </c>
      <c r="I12" s="6">
        <f>IF(H12="","",IF(H12&gt;=15,"CRÍTICO",IF(H12&gt;=10,"ALTO",IF(H12&gt;=5,"MODERADO","BAJO"))))</f>
      </c>
      <c r="J12" s="6"/>
      <c r="K12" s="6"/>
      <c r="L12" s="6"/>
      <c r="M12" s="6"/>
      <c r="N12" s="6"/>
      <c r="O12" s="6"/>
      <c r="P12" s="6"/>
      <c r="Q12" s="6">
        <f>IF(AND(O12&lt;&gt;"",P12&lt;&gt;""),O12*P12,"")</f>
      </c>
    </row>
    <row r="13" ht="22" customHeight="1" spans="1:17" x14ac:dyDescent="0.25">
      <c r="A13" s="6">
        <v>9</v>
      </c>
      <c r="B13" s="6"/>
      <c r="C13" s="6"/>
      <c r="D13" s="6"/>
      <c r="E13" s="6"/>
      <c r="F13" s="6"/>
      <c r="G13" s="6"/>
      <c r="H13" s="6">
        <f>IF(AND(F13&lt;&gt;"",G13&lt;&gt;""),F13*G13,"")</f>
      </c>
      <c r="I13" s="6">
        <f>IF(H13="","",IF(H13&gt;=15,"CRÍTICO",IF(H13&gt;=10,"ALTO",IF(H13&gt;=5,"MODERADO","BAJO"))))</f>
      </c>
      <c r="J13" s="6"/>
      <c r="K13" s="6"/>
      <c r="L13" s="6"/>
      <c r="M13" s="6"/>
      <c r="N13" s="6"/>
      <c r="O13" s="6"/>
      <c r="P13" s="6"/>
      <c r="Q13" s="6">
        <f>IF(AND(O13&lt;&gt;"",P13&lt;&gt;""),O13*P13,"")</f>
      </c>
    </row>
    <row r="14" ht="22" customHeight="1" spans="1:17" x14ac:dyDescent="0.25">
      <c r="A14" s="6">
        <v>10</v>
      </c>
      <c r="B14" s="6"/>
      <c r="C14" s="6"/>
      <c r="D14" s="6"/>
      <c r="E14" s="6"/>
      <c r="F14" s="6"/>
      <c r="G14" s="6"/>
      <c r="H14" s="6">
        <f>IF(AND(F14&lt;&gt;"",G14&lt;&gt;""),F14*G14,"")</f>
      </c>
      <c r="I14" s="6">
        <f>IF(H14="","",IF(H14&gt;=15,"CRÍTICO",IF(H14&gt;=10,"ALTO",IF(H14&gt;=5,"MODERADO","BAJO"))))</f>
      </c>
      <c r="J14" s="6"/>
      <c r="K14" s="6"/>
      <c r="L14" s="6"/>
      <c r="M14" s="6"/>
      <c r="N14" s="6"/>
      <c r="O14" s="6"/>
      <c r="P14" s="6"/>
      <c r="Q14" s="6">
        <f>IF(AND(O14&lt;&gt;"",P14&lt;&gt;""),O14*P14,"")</f>
      </c>
    </row>
    <row r="15" ht="22" customHeight="1" spans="1:17" x14ac:dyDescent="0.25">
      <c r="A15" s="6">
        <v>11</v>
      </c>
      <c r="B15" s="6"/>
      <c r="C15" s="6"/>
      <c r="D15" s="6"/>
      <c r="E15" s="6"/>
      <c r="F15" s="6"/>
      <c r="G15" s="6"/>
      <c r="H15" s="6">
        <f>IF(AND(F15&lt;&gt;"",G15&lt;&gt;""),F15*G15,"")</f>
      </c>
      <c r="I15" s="6">
        <f>IF(H15="","",IF(H15&gt;=15,"CRÍTICO",IF(H15&gt;=10,"ALTO",IF(H15&gt;=5,"MODERADO","BAJO"))))</f>
      </c>
      <c r="J15" s="6"/>
      <c r="K15" s="6"/>
      <c r="L15" s="6"/>
      <c r="M15" s="6"/>
      <c r="N15" s="6"/>
      <c r="O15" s="6"/>
      <c r="P15" s="6"/>
      <c r="Q15" s="6">
        <f>IF(AND(O15&lt;&gt;"",P15&lt;&gt;""),O15*P15,"")</f>
      </c>
    </row>
    <row r="16" ht="22" customHeight="1" spans="1:17" x14ac:dyDescent="0.25">
      <c r="A16" s="6">
        <v>12</v>
      </c>
      <c r="B16" s="6"/>
      <c r="C16" s="6"/>
      <c r="D16" s="6"/>
      <c r="E16" s="6"/>
      <c r="F16" s="6"/>
      <c r="G16" s="6"/>
      <c r="H16" s="6">
        <f>IF(AND(F16&lt;&gt;"",G16&lt;&gt;""),F16*G16,"")</f>
      </c>
      <c r="I16" s="6">
        <f>IF(H16="","",IF(H16&gt;=15,"CRÍTICO",IF(H16&gt;=10,"ALTO",IF(H16&gt;=5,"MODERADO","BAJO"))))</f>
      </c>
      <c r="J16" s="6"/>
      <c r="K16" s="6"/>
      <c r="L16" s="6"/>
      <c r="M16" s="6"/>
      <c r="N16" s="6"/>
      <c r="O16" s="6"/>
      <c r="P16" s="6"/>
      <c r="Q16" s="6">
        <f>IF(AND(O16&lt;&gt;"",P16&lt;&gt;""),O16*P16,"")</f>
      </c>
    </row>
    <row r="17" ht="22" customHeight="1" spans="1:17" x14ac:dyDescent="0.25">
      <c r="A17" s="6">
        <v>13</v>
      </c>
      <c r="B17" s="6"/>
      <c r="C17" s="6"/>
      <c r="D17" s="6"/>
      <c r="E17" s="6"/>
      <c r="F17" s="6"/>
      <c r="G17" s="6"/>
      <c r="H17" s="6">
        <f>IF(AND(F17&lt;&gt;"",G17&lt;&gt;""),F17*G17,"")</f>
      </c>
      <c r="I17" s="6">
        <f>IF(H17="","",IF(H17&gt;=15,"CRÍTICO",IF(H17&gt;=10,"ALTO",IF(H17&gt;=5,"MODERADO","BAJO"))))</f>
      </c>
      <c r="J17" s="6"/>
      <c r="K17" s="6"/>
      <c r="L17" s="6"/>
      <c r="M17" s="6"/>
      <c r="N17" s="6"/>
      <c r="O17" s="6"/>
      <c r="P17" s="6"/>
      <c r="Q17" s="6">
        <f>IF(AND(O17&lt;&gt;"",P17&lt;&gt;""),O17*P17,"")</f>
      </c>
    </row>
    <row r="18" ht="22" customHeight="1" spans="1:17" x14ac:dyDescent="0.25">
      <c r="A18" s="6">
        <v>14</v>
      </c>
      <c r="B18" s="6"/>
      <c r="C18" s="6"/>
      <c r="D18" s="6"/>
      <c r="E18" s="6"/>
      <c r="F18" s="6"/>
      <c r="G18" s="6"/>
      <c r="H18" s="6">
        <f>IF(AND(F18&lt;&gt;"",G18&lt;&gt;""),F18*G18,"")</f>
      </c>
      <c r="I18" s="6">
        <f>IF(H18="","",IF(H18&gt;=15,"CRÍTICO",IF(H18&gt;=10,"ALTO",IF(H18&gt;=5,"MODERADO","BAJO"))))</f>
      </c>
      <c r="J18" s="6"/>
      <c r="K18" s="6"/>
      <c r="L18" s="6"/>
      <c r="M18" s="6"/>
      <c r="N18" s="6"/>
      <c r="O18" s="6"/>
      <c r="P18" s="6"/>
      <c r="Q18" s="6">
        <f>IF(AND(O18&lt;&gt;"",P18&lt;&gt;""),O18*P18,"")</f>
      </c>
    </row>
    <row r="19" ht="22" customHeight="1" spans="1:17" x14ac:dyDescent="0.25">
      <c r="A19" s="6">
        <v>15</v>
      </c>
      <c r="B19" s="6"/>
      <c r="C19" s="6"/>
      <c r="D19" s="6"/>
      <c r="E19" s="6"/>
      <c r="F19" s="6"/>
      <c r="G19" s="6"/>
      <c r="H19" s="6">
        <f>IF(AND(F19&lt;&gt;"",G19&lt;&gt;""),F19*G19,"")</f>
      </c>
      <c r="I19" s="6">
        <f>IF(H19="","",IF(H19&gt;=15,"CRÍTICO",IF(H19&gt;=10,"ALTO",IF(H19&gt;=5,"MODERADO","BAJO"))))</f>
      </c>
      <c r="J19" s="6"/>
      <c r="K19" s="6"/>
      <c r="L19" s="6"/>
      <c r="M19" s="6"/>
      <c r="N19" s="6"/>
      <c r="O19" s="6"/>
      <c r="P19" s="6"/>
      <c r="Q19" s="6">
        <f>IF(AND(O19&lt;&gt;"",P19&lt;&gt;""),O19*P19,"")</f>
      </c>
    </row>
    <row r="21" ht="24" customHeight="1" spans="1:17" x14ac:dyDescent="0.25">
      <c r="A21" s="11" t="s">
        <v>47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</row>
    <row r="22" spans="1:17" x14ac:dyDescent="0.25">
      <c r="A22" s="12" t="s">
        <v>48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</row>
  </sheetData>
  <mergeCells count="3">
    <mergeCell ref="A1:Q1"/>
    <mergeCell ref="A21:Q21"/>
    <mergeCell ref="A22:Q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"/>
  <sheetFormatPr defaultRowHeight="15" outlineLevelRow="0" outlineLevelCol="0" x14ac:dyDescent="55"/>
  <cols>
    <col min="1" max="1" width="110" customWidth="1"/>
  </cols>
  <sheetData>
    <row r="1" ht="28" customHeight="1" spans="1:1" x14ac:dyDescent="0.25">
      <c r="A1" s="13" t="s">
        <v>49</v>
      </c>
    </row>
    <row r="3" spans="1:1" x14ac:dyDescent="0.25">
      <c r="A3" s="14" t="s">
        <v>50</v>
      </c>
    </row>
    <row r="4" spans="1:1" x14ac:dyDescent="0.25">
      <c r="A4" s="14" t="s">
        <v>51</v>
      </c>
    </row>
    <row r="5" spans="1:1" x14ac:dyDescent="0.25">
      <c r="A5" s="14" t="s">
        <v>52</v>
      </c>
    </row>
    <row r="6" spans="1:1" x14ac:dyDescent="0.25">
      <c r="A6" s="14" t="s">
        <v>53</v>
      </c>
    </row>
    <row r="7" spans="1:1" x14ac:dyDescent="0.25">
      <c r="A7" s="14" t="s">
        <v>54</v>
      </c>
    </row>
    <row r="8" spans="1:1" x14ac:dyDescent="0.25">
      <c r="A8" s="14" t="s">
        <v>55</v>
      </c>
    </row>
    <row r="9" spans="1:1" x14ac:dyDescent="0.25">
      <c r="A9" s="14" t="s">
        <v>56</v>
      </c>
    </row>
    <row r="10" spans="1:1" x14ac:dyDescent="0.25">
      <c r="A10" s="14" t="s">
        <v>31</v>
      </c>
    </row>
    <row r="11" spans="1:1" x14ac:dyDescent="0.25">
      <c r="A11" s="15" t="s">
        <v>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IPERC</vt:lpstr>
      <vt:lpstr>Guía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SGI360 — LOGISMART</dc:creator>
  <dc:title/>
  <dc:subject/>
  <dc:description/>
  <cp:keywords/>
  <cp:category/>
  <cp:lastModifiedBy>Unknown</cp:lastModifiedBy>
  <dcterms:created xsi:type="dcterms:W3CDTF">2026-10-16T17:51:58Z</dcterms:created>
  <dcterms:modified xsi:type="dcterms:W3CDTF">2026-10-16T17:51:58Z</dcterms:modified>
</cp:coreProperties>
</file>